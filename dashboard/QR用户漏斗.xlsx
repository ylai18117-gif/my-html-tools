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6.25" sheetId="2" r:id="rId5"/>
    <sheet name="6.24" sheetId="3" r:id="rId6"/>
    <sheet name="6.23" sheetId="4" r:id="rId7"/>
    <sheet name="6.20 - 6.21" sheetId="5" r:id="rId8"/>
    <sheet name="6.20" sheetId="6" r:id="rId9"/>
    <sheet name="广告id参照表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<sst xmlns="http://schemas.openxmlformats.org/spreadsheetml/2006/main" count="225" uniqueCount="225">
  <si>
    <t xml:space="preserve">  </t>
  </si>
  <si>
    <t xml:space="preserve">黄色是插屏，棕色是原生</t>
  </si>
  <si>
    <t xml:space="preserve">用户数</t>
  </si>
  <si>
    <t xml:space="preserve">渗透率</t>
  </si>
  <si>
    <t xml:space="preserve">广告失败率</t>
  </si>
  <si>
    <t xml:space="preserve">渗透率差值</t>
  </si>
  <si>
    <t xml:space="preserve">广告id</t>
  </si>
  <si>
    <t xml:space="preserve">广告场景</t>
  </si>
  <si>
    <t xml:space="preserve">触发用户数</t>
  </si>
  <si>
    <t xml:space="preserve">平均次数</t>
  </si>
  <si>
    <t xml:space="preserve">新用户数</t>
  </si>
  <si>
    <t xml:space="preserve">新用户数 - logo页</t>
  </si>
  <si>
    <t xml:space="preserve">logo页</t>
  </si>
  <si>
    <t xml:space="preserve">卸载用户数 - app_remove</t>
  </si>
  <si>
    <t xml:space="preserve">语言选择页</t>
  </si>
  <si>
    <t xml:space="preserve">新手流程原生</t>
  </si>
  <si>
    <t xml:space="preserve">从品宣到通知页都是</t>
  </si>
  <si>
    <t xml:space="preserve">订阅页退出</t>
  </si>
  <si>
    <t xml:space="preserve">扫描结果出插屏</t>
  </si>
  <si>
    <t xml:space="preserve">语言选择页原生</t>
  </si>
  <si>
    <t xml:space="preserve">没埋</t>
  </si>
  <si>
    <t xml:space="preserve">-</t>
  </si>
  <si>
    <t xml:space="preserve">首页 Tab 切换插屏</t>
  </si>
  <si>
    <t xml:space="preserve">假通知页</t>
  </si>
  <si>
    <t xml:space="preserve">扫描结果页原生</t>
  </si>
  <si>
    <t xml:space="preserve">扫描提醒原生</t>
  </si>
  <si>
    <t xml:space="preserve">主页</t>
  </si>
  <si>
    <t xml:space="preserve">首启/冷启原生</t>
  </si>
  <si>
    <t xml:space="preserve">扫描提醒弹框</t>
  </si>
  <si>
    <t xml:space="preserve">首启关闭订阅页后</t>
  </si>
  <si>
    <t xml:space="preserve">扫描结果任意操作</t>
  </si>
  <si>
    <t xml:space="preserve">扫描结果页</t>
  </si>
  <si>
    <t xml:space="preserve">热启插屏</t>
  </si>
  <si>
    <t xml:space="preserve">扫描结果原生</t>
  </si>
  <si>
    <t xml:space="preserve">结果操作插屏</t>
  </si>
  <si>
    <t xml:space="preserve">消耗</t>
  </si>
  <si>
    <t xml:space="preserve">安装成本</t>
  </si>
  <si>
    <t xml:space="preserve">ECPM</t>
  </si>
  <si>
    <t xml:space="preserve">总展示数</t>
  </si>
  <si>
    <t xml:space="preserve">广告收入</t>
  </si>
  <si>
    <t xml:space="preserve">试用人数</t>
  </si>
  <si>
    <t xml:space="preserve">首日ROI</t>
  </si>
  <si>
    <t xml:space="preserve">转订阅率 x</t>
  </si>
  <si>
    <t xml:space="preserve">试用率 y</t>
  </si>
  <si>
    <t xml:space="preserve">试用成本 t</t>
  </si>
  <si>
    <t xml:space="preserve">75*x*y</t>
  </si>
  <si>
    <t xml:space="preserve">cpi 1.5</t>
  </si>
  <si>
    <t xml:space="preserve">订阅收入 75</t>
  </si>
  <si>
    <t xml:space="preserve">黄色是插屏，棕色是原生</t>
  </si>
  <si>
    <t xml:space="preserve">用户数</t>
  </si>
  <si>
    <t xml:space="preserve">渗透率</t>
  </si>
  <si>
    <t xml:space="preserve">广告失败率</t>
  </si>
  <si>
    <t xml:space="preserve">渗透率差值</t>
  </si>
  <si>
    <t xml:space="preserve">广告id</t>
  </si>
  <si>
    <t xml:space="preserve">广告场景</t>
  </si>
  <si>
    <t xml:space="preserve">触发用户数</t>
  </si>
  <si>
    <t xml:space="preserve">平均次数</t>
  </si>
  <si>
    <t xml:space="preserve">新用户数</t>
  </si>
  <si>
    <t xml:space="preserve">新用户数 - logo页</t>
  </si>
  <si>
    <t xml:space="preserve">logo页</t>
  </si>
  <si>
    <t xml:space="preserve">卸载用户数 - app_remove</t>
  </si>
  <si>
    <t xml:space="preserve">语言选择页</t>
  </si>
  <si>
    <t xml:space="preserve">新手流程原生</t>
  </si>
  <si>
    <t xml:space="preserve">从品宣到通知页都是</t>
  </si>
  <si>
    <t xml:space="preserve">订阅页退出</t>
  </si>
  <si>
    <t xml:space="preserve">扫描结果出插屏</t>
  </si>
  <si>
    <t xml:space="preserve">语言选择页原生</t>
  </si>
  <si>
    <t xml:space="preserve">没埋</t>
  </si>
  <si>
    <t xml:space="preserve">-</t>
  </si>
  <si>
    <t xml:space="preserve">首页 Tab 切换插屏</t>
  </si>
  <si>
    <t xml:space="preserve">假通知页</t>
  </si>
  <si>
    <t xml:space="preserve">扫描结果页原生</t>
  </si>
  <si>
    <t xml:space="preserve">扫描提醒原生</t>
  </si>
  <si>
    <t xml:space="preserve">主页</t>
  </si>
  <si>
    <t xml:space="preserve">首启/冷启原生</t>
  </si>
  <si>
    <t xml:space="preserve">扫描提醒弹框</t>
  </si>
  <si>
    <t xml:space="preserve">首启关闭订阅页后</t>
  </si>
  <si>
    <t xml:space="preserve">扫描结果任意操作</t>
  </si>
  <si>
    <t xml:space="preserve">扫描结果页</t>
  </si>
  <si>
    <t xml:space="preserve">热启插屏</t>
  </si>
  <si>
    <t xml:space="preserve">扫描结果原生</t>
  </si>
  <si>
    <t xml:space="preserve">结果操作插屏</t>
  </si>
  <si>
    <t xml:space="preserve">消耗</t>
  </si>
  <si>
    <t xml:space="preserve">安装成本</t>
  </si>
  <si>
    <t xml:space="preserve">ECPM</t>
  </si>
  <si>
    <t xml:space="preserve">总展示数</t>
  </si>
  <si>
    <t xml:space="preserve">广告收入</t>
  </si>
  <si>
    <t xml:space="preserve">试用人数</t>
  </si>
  <si>
    <t xml:space="preserve">首日ROI</t>
  </si>
  <si>
    <t xml:space="preserve">黄色是插屏，棕色是原生</t>
  </si>
  <si>
    <t xml:space="preserve">用户数</t>
  </si>
  <si>
    <t xml:space="preserve">渗透率</t>
  </si>
  <si>
    <t xml:space="preserve">广告失败率</t>
  </si>
  <si>
    <t xml:space="preserve">渗透率差值</t>
  </si>
  <si>
    <t xml:space="preserve">广告id</t>
  </si>
  <si>
    <t xml:space="preserve">广告场景</t>
  </si>
  <si>
    <t xml:space="preserve">触发用户数</t>
  </si>
  <si>
    <t xml:space="preserve">平均次数</t>
  </si>
  <si>
    <t xml:space="preserve">新用户数</t>
  </si>
  <si>
    <t xml:space="preserve">新用户数 - logo页</t>
  </si>
  <si>
    <t xml:space="preserve">logo页</t>
  </si>
  <si>
    <t xml:space="preserve">新手流程原生</t>
  </si>
  <si>
    <t xml:space="preserve">从品宣到通知页都是</t>
  </si>
  <si>
    <t xml:space="preserve">语言选择页</t>
  </si>
  <si>
    <t xml:space="preserve">扫描结果出插屏</t>
  </si>
  <si>
    <t xml:space="preserve">订阅页退出</t>
  </si>
  <si>
    <t xml:space="preserve">扫描提醒原生</t>
  </si>
  <si>
    <t xml:space="preserve">语言选择页原生</t>
  </si>
  <si>
    <t xml:space="preserve">没埋</t>
  </si>
  <si>
    <t xml:space="preserve">-</t>
  </si>
  <si>
    <t xml:space="preserve">首启/冷启原生</t>
  </si>
  <si>
    <t xml:space="preserve">品宣页展示</t>
  </si>
  <si>
    <t xml:space="preserve">扫描结果页原生</t>
  </si>
  <si>
    <t xml:space="preserve">没埋点计算不出</t>
  </si>
  <si>
    <t xml:space="preserve">生成结果原生</t>
  </si>
  <si>
    <t xml:space="preserve">假通知页</t>
  </si>
  <si>
    <t xml:space="preserve">首页 Tab 切换插屏</t>
  </si>
  <si>
    <t xml:space="preserve">主页</t>
  </si>
  <si>
    <t xml:space="preserve">热启插屏</t>
  </si>
  <si>
    <t xml:space="preserve">扫描提醒弹框</t>
  </si>
  <si>
    <t xml:space="preserve">扫描结果页</t>
  </si>
  <si>
    <t xml:space="preserve">扫描结果原生</t>
  </si>
  <si>
    <t xml:space="preserve">扫描结果任意操作</t>
  </si>
  <si>
    <t xml:space="preserve">结果操作插屏</t>
  </si>
  <si>
    <t xml:space="preserve">消耗</t>
  </si>
  <si>
    <t xml:space="preserve">安装成本</t>
  </si>
  <si>
    <t xml:space="preserve">ECPM</t>
  </si>
  <si>
    <t xml:space="preserve">总展示数</t>
  </si>
  <si>
    <t xml:space="preserve">广告收入</t>
  </si>
  <si>
    <t xml:space="preserve">试用人数</t>
  </si>
  <si>
    <t xml:space="preserve">首日ROI</t>
  </si>
  <si>
    <t xml:space="preserve">黄色是插屏，棕色是原生</t>
  </si>
  <si>
    <t xml:space="preserve">用户数</t>
  </si>
  <si>
    <t xml:space="preserve">渗透率</t>
  </si>
  <si>
    <t xml:space="preserve">广告失败率</t>
  </si>
  <si>
    <t xml:space="preserve">渗透率差值</t>
  </si>
  <si>
    <t xml:space="preserve">广告id</t>
  </si>
  <si>
    <t xml:space="preserve">广告场景</t>
  </si>
  <si>
    <t xml:space="preserve">触发用户数</t>
  </si>
  <si>
    <t xml:space="preserve">平均次数</t>
  </si>
  <si>
    <t xml:space="preserve">新用户数</t>
  </si>
  <si>
    <t xml:space="preserve">logo页</t>
  </si>
  <si>
    <t xml:space="preserve">首启关闭订阅页后插屏</t>
  </si>
  <si>
    <t xml:space="preserve">首启插屏</t>
  </si>
  <si>
    <t xml:space="preserve">新手流程页的卡片和全屏原生</t>
  </si>
  <si>
    <t xml:space="preserve">语言选择页</t>
  </si>
  <si>
    <t xml:space="preserve">首页扫描提醒弹窗底部广告</t>
  </si>
  <si>
    <t xml:space="preserve">新手流程原生</t>
  </si>
  <si>
    <t xml:space="preserve">扫描结果页底部原生广告</t>
  </si>
  <si>
    <t xml:space="preserve">假通知页</t>
  </si>
  <si>
    <t xml:space="preserve">冷启订阅页后插屏</t>
  </si>
  <si>
    <t xml:space="preserve">假通知后插屏</t>
  </si>
  <si>
    <t xml:space="preserve">首启/冷启订阅页后全屏原生</t>
  </si>
  <si>
    <t xml:space="preserve">主页</t>
  </si>
  <si>
    <t xml:space="preserve">假通知权限页后插屏</t>
  </si>
  <si>
    <t xml:space="preserve">扫描提醒弹框</t>
  </si>
  <si>
    <t xml:space="preserve">扫描出结果弹插屏</t>
  </si>
  <si>
    <t xml:space="preserve">扫描提醒原生</t>
  </si>
  <si>
    <t xml:space="preserve">扫描结果页点击非分享按钮</t>
  </si>
  <si>
    <t xml:space="preserve">扫描结果页</t>
  </si>
  <si>
    <t xml:space="preserve">扫描结果出插屏</t>
  </si>
  <si>
    <t xml:space="preserve">扫描结果原生</t>
  </si>
  <si>
    <t xml:space="preserve">扫描结果任意操作</t>
  </si>
  <si>
    <t xml:space="preserve">结果操作插屏</t>
  </si>
  <si>
    <t xml:space="preserve">黄色是插屏，棕色是原生</t>
  </si>
  <si>
    <t xml:space="preserve">用户数</t>
  </si>
  <si>
    <t xml:space="preserve">渗透率</t>
  </si>
  <si>
    <t xml:space="preserve">广告失败率</t>
  </si>
  <si>
    <t xml:space="preserve">渗透率差值</t>
  </si>
  <si>
    <t xml:space="preserve">广告id</t>
  </si>
  <si>
    <t xml:space="preserve">广告场景</t>
  </si>
  <si>
    <t xml:space="preserve">触发用户数</t>
  </si>
  <si>
    <t xml:space="preserve">平均次数</t>
  </si>
  <si>
    <t xml:space="preserve">新用户数</t>
  </si>
  <si>
    <t xml:space="preserve">logo页</t>
  </si>
  <si>
    <t xml:space="preserve">首启插屏</t>
  </si>
  <si>
    <t xml:space="preserve">新手流程原生</t>
  </si>
  <si>
    <t xml:space="preserve">语言选择页</t>
  </si>
  <si>
    <t xml:space="preserve">扫描提醒原生</t>
  </si>
  <si>
    <t xml:space="preserve">扫描结果原生</t>
  </si>
  <si>
    <t xml:space="preserve">假通知页</t>
  </si>
  <si>
    <t xml:space="preserve">冷启插屏</t>
  </si>
  <si>
    <t xml:space="preserve">假通知后插屏</t>
  </si>
  <si>
    <t xml:space="preserve">首启/冷启原生</t>
  </si>
  <si>
    <t xml:space="preserve">主页</t>
  </si>
  <si>
    <t xml:space="preserve">扫描物品出插屏</t>
  </si>
  <si>
    <t xml:space="preserve">扫描提醒弹框</t>
  </si>
  <si>
    <t xml:space="preserve">扫描结果页按钮插屏</t>
  </si>
  <si>
    <t xml:space="preserve">热启插屏</t>
  </si>
  <si>
    <t xml:space="preserve">扫描结果页</t>
  </si>
  <si>
    <t xml:space="preserve">扫描结果出插屏</t>
  </si>
  <si>
    <t xml:space="preserve">扫描结果任意操作</t>
  </si>
  <si>
    <t xml:space="preserve">结果操作插屏</t>
  </si>
  <si>
    <t xml:space="preserve">QRSCANMAX</t>
  </si>
  <si>
    <t xml:space="preserve">插屏类型</t>
  </si>
  <si>
    <t xml:space="preserve">spaceid</t>
  </si>
  <si>
    <t xml:space="preserve">场景（简单写）</t>
  </si>
  <si>
    <t xml:space="preserve">原生类型</t>
  </si>
  <si>
    <t xml:space="preserve">plaque</t>
  </si>
  <si>
    <t xml:space="preserve">首启关闭订阅页后</t>
  </si>
  <si>
    <t xml:space="preserve">msg</t>
  </si>
  <si>
    <t xml:space="preserve">语言选择页大卡片</t>
  </si>
  <si>
    <t xml:space="preserve">新手流程后点击假通知权限页</t>
  </si>
  <si>
    <t xml:space="preserve">新手流程页的卡片和全屏原生</t>
  </si>
  <si>
    <t xml:space="preserve">扫描结果页关闭订阅页后</t>
  </si>
  <si>
    <t xml:space="preserve">假通知页原生卡片</t>
  </si>
  <si>
    <t xml:space="preserve">扫描结果页点击非分享按钮</t>
  </si>
  <si>
    <t xml:space="preserve">首页进入后弹出原生广告</t>
  </si>
  <si>
    <t xml:space="preserve">首页 Tab 切换概率触发</t>
  </si>
  <si>
    <t xml:space="preserve">扫描结果页底部原生广告</t>
  </si>
  <si>
    <t xml:space="preserve">生成结果关闭订阅页后</t>
  </si>
  <si>
    <t xml:space="preserve"> Tab页底部的大卡片</t>
  </si>
  <si>
    <t xml:space="preserve">生成结果页点击非分享按钮</t>
  </si>
  <si>
    <t xml:space="preserve">生成页底部原生卡片</t>
  </si>
  <si>
    <t xml:space="preserve">冷启订阅页后</t>
  </si>
  <si>
    <t xml:space="preserve">生成结果页底部原生广告</t>
  </si>
  <si>
    <t xml:space="preserve">热启触发</t>
  </si>
  <si>
    <t xml:space="preserve">历史结果页列表插入广告</t>
  </si>
  <si>
    <t xml:space="preserve">从历史进入生成页/结果页</t>
  </si>
  <si>
    <t xml:space="preserve">首页扫描提醒弹窗底部广告</t>
  </si>
  <si>
    <t xml:space="preserve">商品结果页 AI 分析关闭订阅页后</t>
  </si>
  <si>
    <t xml:space="preserve">首启/冷启订阅页后全屏原生</t>
  </si>
  <si>
    <t xml:space="preserve">商品结果页加速 AI 分享</t>
  </si>
  <si>
    <t xml:space="preserve">DanceAISnap</t>
  </si>
  <si>
    <t xml:space="preserve">首启关闭订阅页后/模板详情页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</si>
</sst>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%"/>
    <numFmt numFmtId="165" formatCode="0.00%"/>
    <numFmt numFmtId="166" formatCode="0.0%"/>
    <numFmt numFmtId="167" formatCode="0.00%"/>
    <numFmt numFmtId="168" formatCode="0.0%"/>
    <numFmt numFmtId="169" formatCode="0.00%"/>
    <numFmt numFmtId="170" formatCode="0.0%"/>
    <numFmt numFmtId="171" formatCode="0.0%"/>
  </numFmts>
  <fonts count="7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1F1F"/>
      <name val="Calibri"/>
      <family val="2"/>
      <scheme val="minor"/>
    </font>
    <font>
      <sz val="11"/>
      <color rgb="FF202124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9B04"/>
        <bgColor/>
      </patternFill>
    </fill>
    <fill>
      <patternFill patternType="solid">
        <fgColor rgb="FFFFF258"/>
        <bgColor/>
      </patternFill>
    </fill>
    <fill>
      <patternFill patternType="solid">
        <fgColor rgb="FFDC9B04"/>
        <bgColor/>
      </patternFill>
    </fill>
    <fill>
      <patternFill patternType="solid">
        <fgColor rgb="FFFFF258"/>
        <bgColor/>
      </patternFill>
    </fill>
    <fill>
      <patternFill patternType="solid">
        <fgColor rgb="FFDC9B04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C9B04"/>
        <bgColor/>
      </patternFill>
    </fill>
    <fill>
      <patternFill patternType="solid">
        <fgColor rgb="FFFFF258"/>
        <bgColor/>
      </patternFill>
    </fill>
    <fill>
      <patternFill patternType="solid">
        <fgColor rgb="FFDC9B04"/>
        <bgColor/>
      </patternFill>
    </fill>
  </fills>
  <borders count="2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4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true" applyProtection="false" borderId="5" fillId="0" fontId="1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4" xfId="0">
      <alignment horizontal="center" vertical="center"/>
    </xf>
    <xf applyAlignment="true" applyBorder="false" applyFill="false" applyFont="true" applyNumberFormat="true" applyProtection="false" borderId="5" fillId="0" fontId="1" numFmtId="164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65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true" applyProtection="false" borderId="6" fillId="0" fontId="1" numFmtId="166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true" applyProtection="false" borderId="8" fillId="0" fontId="1" numFmtId="166" xfId="0">
      <alignment horizontal="center" vertical="center"/>
    </xf>
    <xf applyAlignment="true" applyBorder="false" applyFill="false" applyFont="true" applyNumberFormat="true" applyProtection="false" borderId="6" fillId="0" fontId="1" numFmtId="166" xfId="0">
      <alignment horizontal="center" vertical="center"/>
    </xf>
    <xf applyAlignment="true" applyBorder="false" applyFill="false" applyFont="true" applyNumberFormat="true" applyProtection="false" borderId="10" fillId="0" fontId="1" numFmtId="166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true" applyProtection="false" borderId="8" fillId="0" fontId="1" numFmtId="166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6" xfId="0">
      <alignment vertical="center"/>
    </xf>
    <xf applyAlignment="true" applyBorder="false" applyFill="true" applyFont="true" applyNumberFormat="false" applyProtection="false" borderId="6" fillId="4" fontId="1" numFmtId="0" xfId="0">
      <alignment horizontal="center" vertical="center"/>
    </xf>
    <xf applyAlignment="true" applyBorder="false" applyFill="false" applyFont="true" applyNumberFormat="true" applyProtection="false" borderId="8" fillId="0" fontId="1" numFmtId="166" xfId="0">
      <alignment horizontal="center" vertical="center"/>
    </xf>
    <xf applyAlignment="true" applyBorder="false" applyFill="false" applyFont="true" applyNumberFormat="true" applyProtection="false" borderId="10" fillId="0" fontId="1" numFmtId="166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 wrapText="true"/>
    </xf>
    <xf applyAlignment="true" applyBorder="false" applyFill="true" applyFont="true" applyNumberFormat="false" applyProtection="false" borderId="6" fillId="5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7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true" applyProtection="false" borderId="11" fillId="0" fontId="1" numFmtId="168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68" xfId="0">
      <alignment horizontal="center" vertical="center"/>
    </xf>
    <xf applyAlignment="true" applyBorder="false" applyFill="false" applyFont="true" applyNumberFormat="true" applyProtection="false" borderId="11" fillId="0" fontId="1" numFmtId="168" xfId="0">
      <alignment horizontal="center" vertical="center"/>
    </xf>
    <xf applyAlignment="true" applyBorder="false" applyFill="false" applyFont="true" applyNumberFormat="true" applyProtection="false" borderId="15" fillId="0" fontId="1" numFmtId="168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68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8" xfId="0">
      <alignment vertical="center"/>
    </xf>
    <xf applyAlignment="true" applyBorder="false" applyFill="true" applyFont="true" applyNumberFormat="false" applyProtection="false" borderId="11" fillId="6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68" xfId="0">
      <alignment horizontal="center" vertical="center"/>
    </xf>
    <xf applyAlignment="true" applyBorder="false" applyFill="false" applyFont="true" applyNumberFormat="true" applyProtection="false" borderId="15" fillId="0" fontId="1" numFmtId="168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horizontal="center" vertical="center" wrapText="true"/>
    </xf>
    <xf applyAlignment="true" applyBorder="false" applyFill="true" applyFont="true" applyNumberFormat="false" applyProtection="false" borderId="11" fillId="7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9" xfId="0">
      <alignment vertical="center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8" fillId="0" fontId="4" numFmtId="0" xfId="0">
      <alignment horizontal="center" vertical="center"/>
    </xf>
    <xf applyAlignment="true" applyBorder="false" applyFill="false" applyFont="true" applyNumberFormat="true" applyProtection="false" borderId="16" fillId="0" fontId="4" numFmtId="17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16" fillId="0" fontId="4" numFmtId="0" xfId="0">
      <alignment horizontal="center" vertical="center" wrapText="true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true" applyProtection="false" borderId="18" fillId="0" fontId="1" numFmtId="170" xfId="0">
      <alignment horizontal="center" vertical="center"/>
    </xf>
    <xf applyAlignment="true" applyBorder="false" applyFill="false" applyFont="true" applyNumberFormat="true" applyProtection="false" borderId="16" fillId="0" fontId="1" numFmtId="170" xfId="0">
      <alignment horizontal="center" vertical="center"/>
    </xf>
    <xf applyAlignment="true" applyBorder="false" applyFill="false" applyFont="true" applyNumberFormat="true" applyProtection="false" borderId="20" fillId="0" fontId="1" numFmtId="17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6" fillId="0" fontId="2" numFmtId="0" xfId="0">
      <alignment horizontal="center" vertical="center" wrapText="true"/>
    </xf>
    <xf applyAlignment="true" applyBorder="false" applyFill="false" applyFont="true" applyNumberFormat="false" applyProtection="false" borderId="16" fillId="0" fontId="2" numFmtId="0" xfId="0">
      <alignment horizontal="center" vertical="center" wrapText="true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true" applyProtection="false" borderId="18" fillId="0" fontId="1" numFmtId="17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vertical="center" wrapText="true"/>
    </xf>
    <xf applyAlignment="true" applyBorder="false" applyFill="true" applyFont="true" applyNumberFormat="false" applyProtection="false" borderId="16" fillId="8" fontId="1" numFmtId="0" xfId="0">
      <alignment horizontal="center" vertical="center"/>
    </xf>
    <xf applyAlignment="true" applyBorder="false" applyFill="false" applyFont="true" applyNumberFormat="false" applyProtection="false" borderId="16" fillId="0" fontId="5" numFmtId="0" xfId="0">
      <alignment horizontal="center" vertical="center" wrapText="true"/>
    </xf>
    <xf applyAlignment="true" applyBorder="false" applyFill="false" applyFont="true" applyNumberFormat="true" applyProtection="false" borderId="0" fillId="0" fontId="1" numFmtId="170" xfId="0">
      <alignment vertical="center"/>
    </xf>
    <xf applyAlignment="true" applyBorder="false" applyFill="true" applyFont="true" applyNumberFormat="false" applyProtection="false" borderId="16" fillId="9" fontId="1" numFmtId="0" xfId="0">
      <alignment horizontal="center" vertical="center"/>
    </xf>
    <xf applyAlignment="true" applyBorder="false" applyFill="false" applyFont="true" applyNumberFormat="false" applyProtection="false" borderId="16" fillId="0" fontId="5" numFmtId="0" xfId="0">
      <alignment horizontal="center" vertical="center" wrapText="true"/>
    </xf>
    <xf applyAlignment="true" applyBorder="false" applyFill="false" applyFont="true" applyNumberFormat="false" applyProtection="false" borderId="16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true" applyProtection="false" borderId="21" fillId="0" fontId="1" numFmtId="171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false" applyFont="true" applyNumberFormat="true" applyProtection="false" borderId="23" fillId="0" fontId="1" numFmtId="171" xfId="0">
      <alignment horizontal="center" vertical="center"/>
    </xf>
    <xf applyAlignment="true" applyBorder="false" applyFill="false" applyFont="true" applyNumberFormat="true" applyProtection="false" borderId="21" fillId="0" fontId="1" numFmtId="171" xfId="0">
      <alignment horizontal="center" vertical="center"/>
    </xf>
    <xf applyAlignment="true" applyBorder="false" applyFill="false" applyFont="true" applyNumberFormat="true" applyProtection="false" borderId="25" fillId="0" fontId="1" numFmtId="171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 wrapText="true"/>
    </xf>
    <xf applyAlignment="true" applyBorder="false" applyFill="false" applyFont="true" applyNumberFormat="false" applyProtection="false" borderId="21" fillId="0" fontId="2" numFmtId="0" xfId="0">
      <alignment horizontal="center" vertical="center" wrapText="true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true" applyProtection="false" borderId="23" fillId="0" fontId="1" numFmtId="171" xfId="0">
      <alignment horizontal="center" vertical="center"/>
    </xf>
    <xf applyAlignment="true" applyBorder="false" applyFill="true" applyFont="true" applyNumberFormat="false" applyProtection="false" borderId="21" fillId="10" fontId="1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true" applyProtection="false" borderId="23" fillId="0" fontId="1" numFmtId="171" xfId="0">
      <alignment horizontal="center" vertical="center"/>
    </xf>
    <xf applyAlignment="true" applyBorder="false" applyFill="false" applyFont="true" applyNumberFormat="true" applyProtection="false" borderId="21" fillId="0" fontId="1" numFmtId="171" xfId="0">
      <alignment horizontal="center" vertical="center"/>
    </xf>
    <xf applyAlignment="true" applyBorder="false" applyFill="false" applyFont="true" applyNumberFormat="true" applyProtection="false" borderId="25" fillId="0" fontId="1" numFmtId="171" xfId="0">
      <alignment horizontal="center" vertical="center"/>
    </xf>
    <xf applyAlignment="true" applyBorder="false" applyFill="false" applyFont="true" applyNumberFormat="true" applyProtection="false" borderId="0" fillId="0" fontId="1" numFmtId="171" xfId="0">
      <alignment vertical="center"/>
    </xf>
    <xf applyAlignment="true" applyBorder="false" applyFill="true" applyFont="true" applyNumberFormat="false" applyProtection="false" borderId="21" fillId="11" fontId="1" numFmtId="0" xfId="0">
      <alignment horizontal="center" vertical="center"/>
    </xf>
    <xf applyAlignment="true" applyBorder="false" applyFill="true" applyFont="true" applyNumberFormat="false" applyProtection="false" borderId="21" fillId="10" fontId="1" numFmtId="0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 wrapText="true"/>
    </xf>
    <xf applyAlignment="true" applyBorder="false" applyFill="false" applyFont="true" applyNumberFormat="false" applyProtection="false" borderId="21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4" min="4" style="0" width="14"/>
    <col collapsed="false" customWidth="true" hidden="false" max="9" min="9" style="0" width="18"/>
    <col collapsed="false" customWidth="true" hidden="false" max="12" min="12" style="0" width="18"/>
  </cols>
  <sheetData>
    <row customHeight="true" ht="19" r="1">
      <c r="A1" s="1" t="s">
        <v>1</v>
      </c>
      <c r="B1" s="2"/>
      <c r="C1" s="2"/>
      <c r="D1" s="3"/>
      <c r="E1" s="2"/>
      <c r="F1" s="4"/>
      <c r="G1" s="4"/>
      <c r="H1" s="1"/>
      <c r="I1" s="1"/>
      <c r="J1" s="1"/>
      <c r="K1" s="1"/>
      <c r="L1" s="5"/>
      <c r="O1" s="4"/>
      <c r="P1" s="4"/>
      <c r="Q1" s="4"/>
      <c r="R1" s="4"/>
      <c r="S1" s="4"/>
    </row>
    <row r="2">
      <c r="A2" s="2"/>
      <c r="B2" s="1" t="s">
        <v>2</v>
      </c>
      <c r="C2" s="6" t="s">
        <v>3</v>
      </c>
      <c r="D2" s="7" t="s">
        <v>4</v>
      </c>
      <c r="E2" s="8" t="s">
        <v>5</v>
      </c>
      <c r="F2" s="4"/>
      <c r="G2" s="4"/>
      <c r="H2" s="1" t="s">
        <v>6</v>
      </c>
      <c r="I2" s="1" t="s">
        <v>7</v>
      </c>
      <c r="J2" s="1" t="s">
        <v>8</v>
      </c>
      <c r="K2" s="1" t="s">
        <v>9</v>
      </c>
      <c r="L2" s="5"/>
      <c r="O2" s="4"/>
      <c r="P2" s="4"/>
      <c r="Q2" s="4"/>
      <c r="R2" s="4"/>
      <c r="S2" s="4"/>
    </row>
    <row r="3">
      <c r="A3" s="1" t="s">
        <v>10</v>
      </c>
      <c r="B3" s="1">
        <v>35</v>
      </c>
      <c r="C3" s="9"/>
      <c r="D3" s="10"/>
      <c r="E3" s="11"/>
      <c r="F3" s="5"/>
      <c r="G3" s="5"/>
      <c r="H3" s="12" t="s">
        <v>11</v>
      </c>
      <c r="I3" s="12"/>
      <c r="J3" s="12">
        <v>40</v>
      </c>
      <c r="K3" s="12">
        <v>2.65</v>
      </c>
      <c r="L3" s="5"/>
    </row>
    <row customHeight="true" ht="19" r="4">
      <c r="A4" s="13" t="s">
        <v>12</v>
      </c>
      <c r="B4" s="13">
        <v>35</v>
      </c>
      <c r="C4" s="14">
        <f>B4/B3</f>
      </c>
      <c r="D4" s="10"/>
      <c r="E4" s="11"/>
      <c r="F4" s="5"/>
      <c r="G4" s="5"/>
      <c r="H4" s="12" t="s">
        <v>13</v>
      </c>
      <c r="I4" s="15"/>
      <c r="J4" s="12">
        <v>21</v>
      </c>
      <c r="K4" s="12">
        <v>1.53</v>
      </c>
    </row>
    <row customHeight="true" ht="19" r="5">
      <c r="A5" s="13" t="s">
        <v>14</v>
      </c>
      <c r="B5" s="13">
        <v>35</v>
      </c>
      <c r="C5" s="14">
        <f>B5/B3</f>
      </c>
      <c r="D5" s="10"/>
      <c r="E5" s="11"/>
      <c r="F5" s="5"/>
      <c r="G5" s="5"/>
      <c r="H5" s="15">
        <v>44000074</v>
      </c>
      <c r="I5" s="12" t="s">
        <v>15</v>
      </c>
      <c r="J5" s="12">
        <v>14</v>
      </c>
      <c r="K5" s="12">
        <v>2</v>
      </c>
      <c r="L5" s="16" t="s">
        <v>16</v>
      </c>
    </row>
    <row customHeight="true" ht="19" r="6">
      <c r="A6" s="13" t="s">
        <v>17</v>
      </c>
      <c r="B6" s="13">
        <v>32</v>
      </c>
      <c r="C6" s="14">
        <f>B6/B3</f>
      </c>
      <c r="D6" s="10"/>
      <c r="E6" s="11"/>
      <c r="F6" s="17"/>
      <c r="G6" s="5"/>
      <c r="H6" s="12">
        <v>23000075</v>
      </c>
      <c r="I6" s="12" t="s">
        <v>18</v>
      </c>
      <c r="J6" s="12">
        <v>2</v>
      </c>
      <c r="K6" s="12">
        <v>2</v>
      </c>
      <c r="L6" s="5"/>
    </row>
    <row customHeight="true" ht="19" r="7">
      <c r="A7" s="18" t="s">
        <v>19</v>
      </c>
      <c r="B7" s="18" t="s">
        <v>20</v>
      </c>
      <c r="C7" s="19" t="s">
        <v>21</v>
      </c>
      <c r="D7" s="7"/>
      <c r="E7" s="20"/>
      <c r="F7" s="5"/>
      <c r="G7" s="5"/>
      <c r="H7" s="12">
        <v>23000077</v>
      </c>
      <c r="I7" s="12" t="s">
        <v>22</v>
      </c>
      <c r="J7" s="12">
        <v>1</v>
      </c>
      <c r="K7" s="12">
        <v>2</v>
      </c>
      <c r="L7" s="5"/>
    </row>
    <row r="8">
      <c r="A8" s="13" t="s">
        <v>23</v>
      </c>
      <c r="B8" s="13">
        <v>16</v>
      </c>
      <c r="C8" s="19">
        <f>B8/B3</f>
      </c>
      <c r="D8" s="7"/>
      <c r="E8" s="11"/>
      <c r="F8" s="5"/>
      <c r="G8" s="5"/>
      <c r="H8" s="12">
        <v>44000080</v>
      </c>
      <c r="I8" s="12" t="s">
        <v>24</v>
      </c>
      <c r="J8" s="12">
        <v>2</v>
      </c>
      <c r="K8" s="12">
        <v>2</v>
      </c>
      <c r="L8" s="5"/>
    </row>
    <row customHeight="true" ht="19" r="9">
      <c r="A9" s="18" t="s">
        <v>15</v>
      </c>
      <c r="B9" s="18">
        <v>23</v>
      </c>
      <c r="C9" s="14">
        <f>B9/B3</f>
      </c>
      <c r="D9" s="7">
        <f>(B8-B9)/B8</f>
      </c>
      <c r="E9" s="11">
        <f>C8-C9</f>
      </c>
      <c r="F9" s="5"/>
      <c r="G9" s="5"/>
      <c r="H9" s="15">
        <v>44000085</v>
      </c>
      <c r="I9" s="12" t="s">
        <v>25</v>
      </c>
      <c r="J9" s="12">
        <v>3</v>
      </c>
      <c r="K9" s="12">
        <v>4</v>
      </c>
      <c r="L9" s="5"/>
    </row>
    <row r="10">
      <c r="A10" s="21" t="s">
        <v>26</v>
      </c>
      <c r="B10" s="13">
        <v>9</v>
      </c>
      <c r="C10" s="14">
        <f>B10/B3</f>
      </c>
      <c r="D10" s="10"/>
      <c r="E10" s="11"/>
      <c r="F10" s="5"/>
      <c r="G10" s="5"/>
      <c r="H10" s="15">
        <v>44000086</v>
      </c>
      <c r="I10" s="12" t="s">
        <v>27</v>
      </c>
      <c r="J10" s="12">
        <v>2</v>
      </c>
      <c r="K10" s="12">
        <v>2</v>
      </c>
      <c r="L10" s="5"/>
    </row>
    <row customHeight="true" ht="19" r="11">
      <c r="A11" s="13" t="s">
        <v>28</v>
      </c>
      <c r="B11" s="13">
        <v>7</v>
      </c>
      <c r="C11" s="14">
        <f>B11/B3</f>
      </c>
      <c r="D11" s="10"/>
      <c r="E11" s="11"/>
      <c r="F11" s="5"/>
      <c r="G11" s="5"/>
      <c r="H11" s="12">
        <v>23000073</v>
      </c>
      <c r="I11" s="12" t="s">
        <v>29</v>
      </c>
      <c r="J11" s="12">
        <v>2</v>
      </c>
      <c r="K11" s="12">
        <v>2</v>
      </c>
      <c r="L11" s="5"/>
    </row>
    <row customHeight="true" ht="21" r="12">
      <c r="A12" s="18" t="s">
        <v>25</v>
      </c>
      <c r="B12" s="18">
        <v>3</v>
      </c>
      <c r="C12" s="14">
        <f>B12/B3</f>
      </c>
      <c r="D12" s="10">
        <f>(B11-B12)/B11</f>
      </c>
      <c r="E12" s="11">
        <f>C11-C12</f>
      </c>
      <c r="F12" s="5"/>
      <c r="G12" s="5"/>
      <c r="H12" s="12">
        <v>23000076</v>
      </c>
      <c r="I12" s="12" t="s">
        <v>30</v>
      </c>
      <c r="J12" s="15">
        <v>1</v>
      </c>
      <c r="K12" s="12">
        <v>2</v>
      </c>
      <c r="L12" s="5"/>
    </row>
    <row r="13">
      <c r="A13" s="13" t="s">
        <v>31</v>
      </c>
      <c r="B13" s="13">
        <v>6</v>
      </c>
      <c r="C13" s="14">
        <f>B13/B3</f>
      </c>
      <c r="D13" s="10"/>
      <c r="E13" s="11"/>
      <c r="F13" s="5"/>
      <c r="G13" s="5"/>
      <c r="H13" s="15">
        <v>23000081</v>
      </c>
      <c r="I13" s="12" t="s">
        <v>32</v>
      </c>
      <c r="J13" s="12" t="s">
        <v>21</v>
      </c>
      <c r="K13" s="12" t="s">
        <v>21</v>
      </c>
      <c r="L13" s="5"/>
    </row>
    <row customHeight="true" ht="19" r="14">
      <c r="A14" s="22" t="s">
        <v>18</v>
      </c>
      <c r="B14" s="22">
        <v>5</v>
      </c>
      <c r="C14" s="14">
        <f>B14/B3</f>
      </c>
      <c r="D14" s="10">
        <f>(B13-B14)/B13</f>
      </c>
      <c r="E14" s="11">
        <f>C13-C14</f>
      </c>
      <c r="F14" s="5"/>
      <c r="H14" s="16">
        <v>44000082</v>
      </c>
      <c r="I14" s="5"/>
      <c r="J14" s="16">
        <v>1</v>
      </c>
      <c r="K14" s="16">
        <v>4</v>
      </c>
    </row>
    <row r="15">
      <c r="A15" s="18" t="s">
        <v>33</v>
      </c>
      <c r="B15" s="18">
        <v>3</v>
      </c>
      <c r="C15" s="14">
        <f>B15/B3</f>
      </c>
      <c r="D15" s="10">
        <f>(B13-B15)/B13</f>
      </c>
      <c r="E15" s="11">
        <f>C13-C15</f>
      </c>
      <c r="F15" s="5"/>
    </row>
    <row customHeight="true" ht="19" r="16">
      <c r="A16" s="13" t="s">
        <v>30</v>
      </c>
      <c r="B16" s="13">
        <v>2</v>
      </c>
      <c r="C16" s="14">
        <f>B16/B3</f>
      </c>
      <c r="D16" s="10"/>
      <c r="E16" s="11"/>
      <c r="F16" s="5"/>
    </row>
    <row customHeight="true" ht="19" r="17">
      <c r="A17" s="22" t="s">
        <v>34</v>
      </c>
      <c r="B17" s="22">
        <v>1</v>
      </c>
      <c r="C17" s="14">
        <f>B17/B3</f>
      </c>
      <c r="D17" s="10">
        <f>(B16-B17)/B16</f>
      </c>
      <c r="E17" s="11">
        <f>C16-C17</f>
      </c>
      <c r="F17" s="5"/>
    </row>
    <row customHeight="true" ht="19" r="18">
      <c r="F18" s="5"/>
    </row>
    <row customHeight="true" ht="19" r="19">
      <c r="A19" s="16" t="s">
        <v>35</v>
      </c>
      <c r="B19" s="16">
        <v>84.84</v>
      </c>
      <c r="F19" s="5"/>
    </row>
    <row customHeight="true" ht="19" r="20">
      <c r="A20" s="16" t="s">
        <v>36</v>
      </c>
      <c r="B20" s="16">
        <v>1.49</v>
      </c>
      <c r="C20" s="5"/>
      <c r="D20" s="5"/>
      <c r="E20" s="5"/>
    </row>
    <row customHeight="true" ht="19" r="21">
      <c r="A21" s="16" t="s">
        <v>37</v>
      </c>
      <c r="B21" s="16">
        <v>73.95</v>
      </c>
      <c r="C21" s="5"/>
      <c r="D21" s="5"/>
      <c r="E21" s="5"/>
    </row>
    <row customHeight="true" ht="19" r="22">
      <c r="A22" s="16" t="s">
        <v>38</v>
      </c>
      <c r="B22" s="16">
        <v>129</v>
      </c>
      <c r="C22" s="5"/>
      <c r="E22" s="5"/>
    </row>
    <row r="23">
      <c r="A23" s="16" t="s">
        <v>39</v>
      </c>
      <c r="B23" s="16">
        <v>9.54</v>
      </c>
      <c r="D23" s="5"/>
      <c r="E23" s="5"/>
    </row>
    <row r="24">
      <c r="A24" s="16" t="s">
        <v>40</v>
      </c>
      <c r="B24" s="16">
        <v>0</v>
      </c>
    </row>
    <row r="25">
      <c r="A25" s="16" t="s">
        <v>41</v>
      </c>
      <c r="B25" s="23">
        <v>0.09396</v>
      </c>
    </row>
    <row r="26">
      <c r="F26" s="24" t="s">
        <v>42</v>
      </c>
    </row>
    <row r="27">
      <c r="F27" s="24" t="s">
        <v>43</v>
      </c>
    </row>
    <row r="28">
      <c r="F28" s="24" t="s">
        <v>44</v>
      </c>
      <c r="G28" s="24" t="s">
        <v>45</v>
      </c>
    </row>
    <row r="29">
      <c r="F29" s="24" t="s">
        <v>46</v>
      </c>
    </row>
    <row r="30">
      <c r="F30" s="24" t="s">
        <v>47</v>
      </c>
    </row>
    <row r="31"/>
    <row r="32"/>
    <row r="33"/>
    <row r="34"/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</sheetData>
  <mergeCells>
    <mergeCell ref="H3:I3"/>
    <mergeCell ref="A1:E1"/>
    <mergeCell ref="H4:I4"/>
  </mergeCells>
  <conditionalFormatting sqref="D5:D17">
    <cfRule priority="2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{8C7FB0B6-6499-4826-ABD1-B218F4EC87A9}</x14:id>
        </ext>
      </extLst>
    </cfRule>
  </conditionalFormatting>
  <conditionalFormatting sqref="E5:E17">
    <cfRule priority="3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{269E8273-38B9-4671-869B-293F6286B307}</x14:id>
        </ext>
      </extLst>
    </cfRule>
  </conditionalFormatting>
  <conditionalFormatting sqref="E5:E17">
    <cfRule priority="4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{180BE6B8-3686-4671-922B-ACBAF5D6E17E}</x14:id>
        </ext>
      </extLst>
    </cfRule>
  </conditionalFormatting>
  <conditionalFormatting sqref="E5:E17">
    <cfRule priority="5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{8C8AB623-910B-4868-9235-BAC094B3343C}</x14:id>
        </ext>
      </extLst>
    </cfRule>
  </conditionalFormatting>
  <conditionalFormatting sqref="E5:E17">
    <cfRule priority="6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{70BA6A2D-FDE2-4C73-A5E7-4C13D03B9CB8}</x14:id>
        </ext>
      </extLst>
    </cfRule>
  </conditionalFormatting>
  <conditionalFormatting sqref="D3:D17">
    <cfRule priority="7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{356BEBCF-9513-4364-8A0C-A9E4982F1CD8}</x14:id>
        </ext>
      </extLst>
    </cfRule>
  </conditionalFormatting>
  <conditionalFormatting sqref="D3:D17">
    <cfRule priority="8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{5B075BF5-A4EE-41AD-910C-932B6A257ECB}</x14:id>
        </ext>
      </extLst>
    </cfRule>
  </conditionalFormatting>
  <conditionalFormatting sqref="E3:E17">
    <cfRule priority="9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{F9C0D7D8-9294-40A7-8C75-A227FCF6C81F}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7FB0B6-6499-4826-ABD1-B218F4EC87A9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D5:D17</xm:sqref>
        </x14:conditionalFormatting>
        <x14:conditionalFormatting xmlns:xm="http://schemas.microsoft.com/office/excel/2006/main">
          <x14:cfRule type="dataBar" id="{269E8273-38B9-4671-869B-293F6286B307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180BE6B8-3686-4671-922B-ACBAF5D6E17E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8C8AB623-910B-4868-9235-BAC094B3343C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70BA6A2D-FDE2-4C73-A5E7-4C13D03B9CB8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356BEBCF-9513-4364-8A0C-A9E4982F1CD8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5B075BF5-A4EE-41AD-910C-932B6A257ECB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F9C0D7D8-9294-40A7-8C75-A227FCF6C81F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E3:E17</xm:sqref>
        </x14:conditionalFormatting>
      </x14:conditionalFormatting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4" min="4" style="0" width="14"/>
    <col collapsed="false" customWidth="true" hidden="false" max="9" min="9" style="0" width="18"/>
    <col collapsed="false" customWidth="true" hidden="false" max="12" min="12" style="0" width="18"/>
  </cols>
  <sheetData>
    <row customHeight="true" ht="19" r="1">
      <c r="A1" s="25" t="s">
        <v>48</v>
      </c>
      <c r="B1" s="26"/>
      <c r="C1" s="26"/>
      <c r="D1" s="27"/>
      <c r="E1" s="26"/>
      <c r="F1" s="28"/>
      <c r="G1" s="28"/>
      <c r="H1" s="25"/>
      <c r="I1" s="25"/>
      <c r="J1" s="25"/>
      <c r="K1" s="25"/>
      <c r="L1" s="29"/>
      <c r="O1" s="28"/>
      <c r="P1" s="28"/>
      <c r="Q1" s="28"/>
      <c r="R1" s="28"/>
      <c r="S1" s="28"/>
    </row>
    <row r="2">
      <c r="A2" s="26"/>
      <c r="B2" s="25" t="s">
        <v>49</v>
      </c>
      <c r="C2" s="30" t="s">
        <v>50</v>
      </c>
      <c r="D2" s="31" t="s">
        <v>51</v>
      </c>
      <c r="E2" s="32" t="s">
        <v>52</v>
      </c>
      <c r="F2" s="28"/>
      <c r="G2" s="28"/>
      <c r="H2" s="25" t="s">
        <v>53</v>
      </c>
      <c r="I2" s="25" t="s">
        <v>54</v>
      </c>
      <c r="J2" s="25" t="s">
        <v>55</v>
      </c>
      <c r="K2" s="25" t="s">
        <v>56</v>
      </c>
      <c r="L2" s="29"/>
      <c r="O2" s="28"/>
      <c r="P2" s="28"/>
      <c r="Q2" s="28"/>
      <c r="R2" s="28"/>
      <c r="S2" s="28"/>
    </row>
    <row r="3">
      <c r="A3" s="25" t="s">
        <v>57</v>
      </c>
      <c r="B3" s="25">
        <v>73</v>
      </c>
      <c r="C3" s="33"/>
      <c r="D3" s="34"/>
      <c r="E3" s="35"/>
      <c r="F3" s="29"/>
      <c r="G3" s="29"/>
      <c r="H3" s="36" t="s">
        <v>58</v>
      </c>
      <c r="I3" s="36"/>
      <c r="J3" s="36">
        <v>74</v>
      </c>
      <c r="K3" s="36">
        <v>3.35</v>
      </c>
      <c r="L3" s="29"/>
    </row>
    <row customHeight="true" ht="19" r="4">
      <c r="A4" s="37" t="s">
        <v>59</v>
      </c>
      <c r="B4" s="37">
        <v>71</v>
      </c>
      <c r="C4" s="38">
        <f>B4/B3</f>
      </c>
      <c r="D4" s="34"/>
      <c r="E4" s="35"/>
      <c r="F4" s="29"/>
      <c r="G4" s="29"/>
      <c r="H4" s="36" t="s">
        <v>60</v>
      </c>
      <c r="I4" s="39"/>
      <c r="J4" s="36">
        <v>35</v>
      </c>
      <c r="K4" s="36">
        <v>1.46</v>
      </c>
    </row>
    <row customHeight="true" ht="19" r="5">
      <c r="A5" s="37" t="s">
        <v>61</v>
      </c>
      <c r="B5" s="37">
        <v>65</v>
      </c>
      <c r="C5" s="38">
        <f>B5/B3</f>
      </c>
      <c r="D5" s="34"/>
      <c r="E5" s="35"/>
      <c r="F5" s="29"/>
      <c r="G5" s="29"/>
      <c r="H5" s="39">
        <v>44000074</v>
      </c>
      <c r="I5" s="36" t="s">
        <v>62</v>
      </c>
      <c r="J5" s="36">
        <v>23</v>
      </c>
      <c r="K5" s="36">
        <v>2.64</v>
      </c>
      <c r="L5" s="40" t="s">
        <v>63</v>
      </c>
    </row>
    <row customHeight="true" ht="19" r="6">
      <c r="A6" s="37" t="s">
        <v>64</v>
      </c>
      <c r="B6" s="37">
        <v>53</v>
      </c>
      <c r="C6" s="38">
        <f>B6/B3</f>
      </c>
      <c r="D6" s="34"/>
      <c r="E6" s="35"/>
      <c r="F6" s="41"/>
      <c r="G6" s="29"/>
      <c r="H6" s="36">
        <v>23000075</v>
      </c>
      <c r="I6" s="36" t="s">
        <v>65</v>
      </c>
      <c r="J6" s="36">
        <v>5</v>
      </c>
      <c r="K6" s="36">
        <v>2</v>
      </c>
      <c r="L6" s="29"/>
    </row>
    <row customHeight="true" ht="19" r="7">
      <c r="A7" s="42" t="s">
        <v>66</v>
      </c>
      <c r="B7" s="42" t="s">
        <v>67</v>
      </c>
      <c r="C7" s="43" t="s">
        <v>68</v>
      </c>
      <c r="D7" s="31"/>
      <c r="E7" s="44"/>
      <c r="F7" s="29"/>
      <c r="G7" s="29"/>
      <c r="H7" s="36">
        <v>23000077</v>
      </c>
      <c r="I7" s="36" t="s">
        <v>69</v>
      </c>
      <c r="J7" s="36">
        <v>4</v>
      </c>
      <c r="K7" s="36">
        <v>5.5</v>
      </c>
      <c r="L7" s="29"/>
    </row>
    <row r="8">
      <c r="A8" s="37" t="s">
        <v>70</v>
      </c>
      <c r="B8" s="37">
        <v>21</v>
      </c>
      <c r="C8" s="43">
        <f>B8/B3</f>
      </c>
      <c r="D8" s="31"/>
      <c r="E8" s="35"/>
      <c r="F8" s="29"/>
      <c r="G8" s="29"/>
      <c r="H8" s="36">
        <v>44000080</v>
      </c>
      <c r="I8" s="36" t="s">
        <v>71</v>
      </c>
      <c r="J8" s="36">
        <v>3</v>
      </c>
      <c r="K8" s="36">
        <v>2</v>
      </c>
      <c r="L8" s="29"/>
    </row>
    <row customHeight="true" ht="19" r="9">
      <c r="A9" s="42" t="s">
        <v>62</v>
      </c>
      <c r="B9" s="42">
        <v>23</v>
      </c>
      <c r="C9" s="38">
        <f>B9/B3</f>
      </c>
      <c r="D9" s="31">
        <f>(B8-B9)/B8</f>
      </c>
      <c r="E9" s="35">
        <f>C8-C9</f>
      </c>
      <c r="F9" s="29"/>
      <c r="G9" s="29"/>
      <c r="H9" s="39">
        <v>44000085</v>
      </c>
      <c r="I9" s="36" t="s">
        <v>72</v>
      </c>
      <c r="J9" s="36">
        <v>3</v>
      </c>
      <c r="K9" s="36">
        <v>2</v>
      </c>
      <c r="L9" s="29"/>
    </row>
    <row r="10">
      <c r="A10" s="45" t="s">
        <v>73</v>
      </c>
      <c r="B10" s="37">
        <v>9</v>
      </c>
      <c r="C10" s="38">
        <f>B10/B3</f>
      </c>
      <c r="D10" s="34"/>
      <c r="E10" s="35"/>
      <c r="F10" s="29"/>
      <c r="G10" s="29"/>
      <c r="H10" s="39">
        <v>44000086</v>
      </c>
      <c r="I10" s="36" t="s">
        <v>74</v>
      </c>
      <c r="J10" s="36">
        <v>3</v>
      </c>
      <c r="K10" s="36">
        <v>2</v>
      </c>
      <c r="L10" s="29"/>
    </row>
    <row customHeight="true" ht="19" r="11">
      <c r="A11" s="37" t="s">
        <v>75</v>
      </c>
      <c r="B11" s="37">
        <v>8</v>
      </c>
      <c r="C11" s="38">
        <f>B11/B3</f>
      </c>
      <c r="D11" s="34"/>
      <c r="E11" s="35"/>
      <c r="F11" s="29"/>
      <c r="G11" s="29"/>
      <c r="H11" s="36">
        <v>23000073</v>
      </c>
      <c r="I11" s="36" t="s">
        <v>76</v>
      </c>
      <c r="J11" s="36">
        <v>3</v>
      </c>
      <c r="K11" s="36">
        <v>3</v>
      </c>
      <c r="L11" s="29"/>
    </row>
    <row customHeight="true" ht="21" r="12">
      <c r="A12" s="42" t="s">
        <v>72</v>
      </c>
      <c r="B12" s="42">
        <v>3</v>
      </c>
      <c r="C12" s="38">
        <f>B12/B3</f>
      </c>
      <c r="D12" s="34">
        <f>(B11-B12)/B11</f>
      </c>
      <c r="E12" s="35">
        <f>C11-C12</f>
      </c>
      <c r="F12" s="29"/>
      <c r="G12" s="29"/>
      <c r="H12" s="36">
        <v>23000076</v>
      </c>
      <c r="I12" s="36" t="s">
        <v>77</v>
      </c>
      <c r="J12" s="39">
        <v>1</v>
      </c>
      <c r="K12" s="36">
        <v>4</v>
      </c>
      <c r="L12" s="29"/>
    </row>
    <row r="13">
      <c r="A13" s="37" t="s">
        <v>78</v>
      </c>
      <c r="B13" s="37">
        <v>6</v>
      </c>
      <c r="C13" s="38">
        <f>B13/B3</f>
      </c>
      <c r="D13" s="34"/>
      <c r="E13" s="35"/>
      <c r="F13" s="29"/>
      <c r="G13" s="29"/>
      <c r="H13" s="39">
        <v>23000081</v>
      </c>
      <c r="I13" s="36" t="s">
        <v>79</v>
      </c>
      <c r="J13" s="39">
        <v>1</v>
      </c>
      <c r="K13" s="36">
        <v>20</v>
      </c>
      <c r="L13" s="29"/>
    </row>
    <row customHeight="true" ht="19" r="14">
      <c r="A14" s="46" t="s">
        <v>65</v>
      </c>
      <c r="B14" s="46">
        <v>5</v>
      </c>
      <c r="C14" s="38">
        <f>B14/B3</f>
      </c>
      <c r="D14" s="34">
        <f>(B13-B14)/B13</f>
      </c>
      <c r="E14" s="35">
        <f>C13-C14</f>
      </c>
      <c r="F14" s="29"/>
      <c r="H14" s="29"/>
      <c r="I14" s="29"/>
      <c r="J14" s="29"/>
      <c r="K14" s="29"/>
    </row>
    <row r="15">
      <c r="A15" s="42" t="s">
        <v>80</v>
      </c>
      <c r="B15" s="42">
        <v>3</v>
      </c>
      <c r="C15" s="38">
        <f>B15/B3</f>
      </c>
      <c r="D15" s="34">
        <f>(B13-B15)/B13</f>
      </c>
      <c r="E15" s="35">
        <f>C13-C15</f>
      </c>
      <c r="F15" s="29"/>
    </row>
    <row customHeight="true" ht="19" r="16">
      <c r="A16" s="37" t="s">
        <v>77</v>
      </c>
      <c r="B16" s="37">
        <v>2</v>
      </c>
      <c r="C16" s="38">
        <f>B16/B3</f>
      </c>
      <c r="D16" s="34"/>
      <c r="E16" s="35"/>
      <c r="F16" s="29"/>
    </row>
    <row customHeight="true" ht="19" r="17">
      <c r="A17" s="46" t="s">
        <v>81</v>
      </c>
      <c r="B17" s="46">
        <v>1</v>
      </c>
      <c r="C17" s="38">
        <f>B17/B3</f>
      </c>
      <c r="D17" s="34">
        <f>(B16-B17)/B16</f>
      </c>
      <c r="E17" s="35">
        <f>C16-C17</f>
      </c>
      <c r="F17" s="29"/>
    </row>
    <row customHeight="true" ht="19" r="18">
      <c r="F18" s="29"/>
    </row>
    <row customHeight="true" ht="19" r="19">
      <c r="A19" s="40" t="s">
        <v>82</v>
      </c>
      <c r="B19" s="40">
        <v>303.66</v>
      </c>
      <c r="F19" s="29"/>
    </row>
    <row customHeight="true" ht="19" r="20">
      <c r="A20" s="40" t="s">
        <v>83</v>
      </c>
      <c r="B20" s="47">
        <v>4.1</v>
      </c>
      <c r="C20" s="29"/>
      <c r="D20" s="29"/>
      <c r="E20" s="29"/>
    </row>
    <row customHeight="true" ht="19" r="21">
      <c r="A21" s="47" t="s">
        <v>84</v>
      </c>
      <c r="B21" s="47">
        <v>191.1</v>
      </c>
      <c r="C21" s="48"/>
      <c r="D21" s="48"/>
      <c r="E21" s="48"/>
    </row>
    <row customHeight="true" ht="19" r="22">
      <c r="A22" s="47" t="s">
        <v>85</v>
      </c>
      <c r="B22" s="47">
        <v>228</v>
      </c>
      <c r="C22" s="48"/>
      <c r="D22">
        <f>228/23</f>
      </c>
      <c r="E22" s="48"/>
    </row>
    <row r="23">
      <c r="A23" s="40" t="s">
        <v>86</v>
      </c>
      <c r="B23" s="47">
        <v>43.57</v>
      </c>
      <c r="D23" s="29"/>
      <c r="E23" s="29"/>
    </row>
    <row r="24">
      <c r="A24" s="40" t="s">
        <v>87</v>
      </c>
      <c r="B24" s="47">
        <v>0</v>
      </c>
    </row>
    <row r="25">
      <c r="A25" s="40" t="s">
        <v>88</v>
      </c>
      <c r="B25" s="49">
        <v>0.11951</v>
      </c>
    </row>
    <row r="26"/>
    <row r="27"/>
    <row r="28"/>
    <row r="29"/>
    <row r="30"/>
    <row r="31"/>
    <row r="32"/>
    <row r="33"/>
    <row r="34"/>
    <row r="35">
      <c r="C35" s="29"/>
    </row>
    <row r="36">
      <c r="C36" s="29"/>
    </row>
    <row r="37">
      <c r="C37" s="29"/>
    </row>
    <row r="38">
      <c r="C38" s="29"/>
    </row>
    <row r="39">
      <c r="C39" s="29"/>
    </row>
    <row r="40">
      <c r="C40" s="29"/>
    </row>
    <row r="41">
      <c r="C41" s="29"/>
    </row>
    <row r="42">
      <c r="C42" s="29"/>
    </row>
    <row r="43">
      <c r="C43" s="29"/>
    </row>
    <row r="44">
      <c r="C44" s="29"/>
    </row>
    <row r="45">
      <c r="C45" s="29"/>
    </row>
    <row r="46">
      <c r="C46" s="29"/>
    </row>
    <row r="47">
      <c r="C47" s="29"/>
    </row>
    <row r="48">
      <c r="C48" s="29"/>
    </row>
    <row r="49">
      <c r="C49" s="29"/>
    </row>
    <row r="50">
      <c r="C50" s="29"/>
    </row>
    <row r="51">
      <c r="C51" s="29"/>
    </row>
    <row r="52">
      <c r="C52" s="29"/>
    </row>
    <row r="53">
      <c r="C53" s="29"/>
    </row>
    <row r="54">
      <c r="C54" s="29"/>
    </row>
    <row r="55">
      <c r="C55" s="29"/>
    </row>
    <row r="56">
      <c r="C56" s="29"/>
    </row>
    <row r="57">
      <c r="C57" s="29"/>
    </row>
    <row r="58">
      <c r="C58" s="29"/>
    </row>
    <row r="59">
      <c r="C59" s="29"/>
    </row>
    <row r="60">
      <c r="C60" s="29"/>
    </row>
    <row r="61">
      <c r="C61" s="29"/>
    </row>
    <row r="62">
      <c r="C62" s="29"/>
    </row>
    <row r="63">
      <c r="C63" s="29"/>
    </row>
    <row r="64">
      <c r="C64" s="29"/>
    </row>
    <row r="65">
      <c r="C65" s="29"/>
    </row>
    <row r="66">
      <c r="C66" s="29"/>
    </row>
    <row r="67">
      <c r="C67" s="29"/>
    </row>
    <row r="68">
      <c r="C68" s="29"/>
    </row>
    <row r="69">
      <c r="C69" s="29"/>
    </row>
    <row r="70">
      <c r="C70" s="29"/>
    </row>
    <row r="71">
      <c r="C71" s="29"/>
    </row>
    <row r="72">
      <c r="C72" s="29"/>
    </row>
    <row r="73">
      <c r="C73" s="29"/>
    </row>
    <row r="74">
      <c r="C74" s="29"/>
    </row>
    <row r="75">
      <c r="C75" s="29"/>
    </row>
    <row r="76">
      <c r="C76" s="29"/>
    </row>
    <row r="77">
      <c r="C77" s="29"/>
    </row>
    <row r="78">
      <c r="C78" s="29"/>
    </row>
    <row r="79">
      <c r="C79" s="29"/>
    </row>
    <row r="80">
      <c r="C80" s="29"/>
    </row>
    <row r="81">
      <c r="C81" s="29"/>
    </row>
    <row r="82">
      <c r="C82" s="29"/>
    </row>
    <row r="83">
      <c r="C83" s="29"/>
    </row>
    <row r="84">
      <c r="C84" s="29"/>
    </row>
    <row r="85">
      <c r="C85" s="29"/>
    </row>
    <row r="86">
      <c r="C86" s="29"/>
    </row>
    <row r="87">
      <c r="C87" s="29"/>
    </row>
    <row r="88">
      <c r="C88" s="29"/>
    </row>
    <row r="89">
      <c r="C89" s="29"/>
    </row>
    <row r="90">
      <c r="C90" s="29"/>
    </row>
    <row r="91">
      <c r="C91" s="29"/>
    </row>
    <row r="92">
      <c r="C92" s="29"/>
    </row>
    <row r="93">
      <c r="C93" s="29"/>
    </row>
    <row r="94">
      <c r="C94" s="29"/>
    </row>
    <row r="95">
      <c r="C95" s="29"/>
    </row>
    <row r="96">
      <c r="C96" s="29"/>
    </row>
    <row r="97">
      <c r="C97" s="29"/>
    </row>
    <row r="98">
      <c r="C98" s="29"/>
    </row>
    <row r="99">
      <c r="C99" s="29"/>
    </row>
    <row r="100">
      <c r="C100" s="29"/>
    </row>
    <row r="101">
      <c r="C101" s="29"/>
    </row>
    <row r="102">
      <c r="C102" s="29"/>
    </row>
    <row r="103">
      <c r="C103" s="29"/>
    </row>
    <row r="104">
      <c r="C104" s="29"/>
    </row>
    <row r="105">
      <c r="C105" s="29"/>
    </row>
    <row r="106">
      <c r="C106" s="29"/>
    </row>
    <row r="107">
      <c r="C107" s="29"/>
    </row>
    <row r="108">
      <c r="C108" s="29"/>
    </row>
    <row r="109">
      <c r="C109" s="29"/>
    </row>
    <row r="110">
      <c r="C110" s="29"/>
    </row>
    <row r="111">
      <c r="C111" s="29"/>
    </row>
    <row r="112">
      <c r="C112" s="29"/>
    </row>
    <row r="113">
      <c r="C113" s="29"/>
    </row>
    <row r="114">
      <c r="C114" s="29"/>
    </row>
    <row r="115">
      <c r="C115" s="29"/>
    </row>
    <row r="116">
      <c r="C116" s="29"/>
    </row>
    <row r="117">
      <c r="C117" s="29"/>
    </row>
    <row r="118">
      <c r="C118" s="29"/>
    </row>
    <row r="119">
      <c r="C119" s="29"/>
    </row>
    <row r="120">
      <c r="C120" s="29"/>
    </row>
    <row r="121">
      <c r="C121" s="29"/>
    </row>
    <row r="122">
      <c r="C122" s="29"/>
    </row>
    <row r="123">
      <c r="C123" s="29"/>
    </row>
    <row r="124">
      <c r="C124" s="29"/>
    </row>
    <row r="125">
      <c r="C125" s="29"/>
    </row>
    <row r="126">
      <c r="C126" s="29"/>
    </row>
    <row r="127">
      <c r="C127" s="29"/>
    </row>
    <row r="128">
      <c r="C128" s="29"/>
    </row>
    <row r="129">
      <c r="C129" s="29"/>
    </row>
    <row r="130">
      <c r="C130" s="29"/>
    </row>
    <row r="131">
      <c r="C131" s="29"/>
    </row>
    <row r="132">
      <c r="C132" s="29"/>
    </row>
    <row r="133">
      <c r="C133" s="29"/>
    </row>
    <row r="134">
      <c r="C134" s="29"/>
    </row>
    <row r="135">
      <c r="C135" s="29"/>
    </row>
    <row r="136">
      <c r="C136" s="29"/>
    </row>
    <row r="137">
      <c r="C137" s="29"/>
    </row>
    <row r="138">
      <c r="C138" s="29"/>
    </row>
    <row r="139">
      <c r="C139" s="29"/>
    </row>
    <row r="140">
      <c r="C140" s="29"/>
    </row>
    <row r="141">
      <c r="C141" s="29"/>
    </row>
    <row r="142">
      <c r="C142" s="29"/>
    </row>
    <row r="143">
      <c r="C143" s="29"/>
    </row>
    <row r="144">
      <c r="C144" s="29"/>
    </row>
    <row r="145">
      <c r="C145" s="29"/>
    </row>
    <row r="146">
      <c r="C146" s="29"/>
    </row>
    <row r="147">
      <c r="C147" s="29"/>
    </row>
    <row r="148">
      <c r="C148" s="29"/>
    </row>
    <row r="149">
      <c r="C149" s="29"/>
    </row>
    <row r="150">
      <c r="C150" s="29"/>
    </row>
    <row r="151">
      <c r="C151" s="29"/>
    </row>
    <row r="152">
      <c r="C152" s="29"/>
    </row>
    <row r="153">
      <c r="C153" s="29"/>
    </row>
    <row r="154">
      <c r="C154" s="29"/>
    </row>
    <row r="155">
      <c r="C155" s="29"/>
    </row>
    <row r="156">
      <c r="C156" s="29"/>
    </row>
    <row r="157">
      <c r="C157" s="29"/>
    </row>
    <row r="158">
      <c r="C158" s="29"/>
    </row>
    <row r="159">
      <c r="C159" s="29"/>
    </row>
    <row r="160">
      <c r="C160" s="29"/>
    </row>
    <row r="161">
      <c r="C161" s="29"/>
    </row>
    <row r="162">
      <c r="C162" s="29"/>
    </row>
    <row r="163">
      <c r="C163" s="29"/>
    </row>
    <row r="164">
      <c r="C164" s="29"/>
    </row>
    <row r="165">
      <c r="C165" s="29"/>
    </row>
    <row r="166">
      <c r="C166" s="29"/>
    </row>
    <row r="167">
      <c r="C167" s="29"/>
    </row>
    <row r="168">
      <c r="C168" s="29"/>
    </row>
    <row r="169">
      <c r="C169" s="29"/>
    </row>
    <row r="170">
      <c r="C170" s="29"/>
    </row>
    <row r="171">
      <c r="C171" s="29"/>
    </row>
    <row r="172">
      <c r="C172" s="29"/>
    </row>
    <row r="173">
      <c r="C173" s="29"/>
    </row>
    <row r="174">
      <c r="C174" s="29"/>
    </row>
    <row r="175">
      <c r="C175" s="29"/>
    </row>
    <row r="176">
      <c r="C176" s="29"/>
    </row>
    <row r="177">
      <c r="C177" s="29"/>
    </row>
    <row r="178">
      <c r="C178" s="29"/>
    </row>
    <row r="179">
      <c r="C179" s="29"/>
    </row>
    <row r="180">
      <c r="C180" s="29"/>
    </row>
    <row r="181">
      <c r="C181" s="29"/>
    </row>
    <row r="182">
      <c r="C182" s="29"/>
    </row>
    <row r="183">
      <c r="C183" s="29"/>
    </row>
    <row r="184">
      <c r="C184" s="29"/>
    </row>
    <row r="185">
      <c r="C185" s="29"/>
    </row>
    <row r="186">
      <c r="C186" s="29"/>
    </row>
    <row r="187">
      <c r="C187" s="29"/>
    </row>
    <row r="188">
      <c r="C188" s="29"/>
    </row>
    <row r="189">
      <c r="C189" s="29"/>
    </row>
    <row r="190">
      <c r="C190" s="29"/>
    </row>
    <row r="191">
      <c r="C191" s="29"/>
    </row>
    <row r="192">
      <c r="C192" s="29"/>
    </row>
    <row r="193">
      <c r="C193" s="29"/>
    </row>
    <row r="194">
      <c r="C194" s="29"/>
    </row>
    <row r="195">
      <c r="C195" s="29"/>
    </row>
    <row r="196">
      <c r="C196" s="29"/>
    </row>
    <row r="197">
      <c r="C197" s="29"/>
    </row>
    <row r="198">
      <c r="C198" s="29"/>
    </row>
    <row r="199">
      <c r="C199" s="29"/>
    </row>
    <row r="200">
      <c r="C200" s="29"/>
    </row>
    <row r="201">
      <c r="C201" s="29"/>
    </row>
    <row r="202">
      <c r="C202" s="29"/>
    </row>
    <row r="203">
      <c r="C203" s="29"/>
    </row>
    <row r="204">
      <c r="C204" s="29"/>
    </row>
    <row r="205">
      <c r="C205" s="29"/>
    </row>
    <row r="206">
      <c r="C206" s="29"/>
    </row>
    <row r="207">
      <c r="C207" s="29"/>
    </row>
    <row r="208">
      <c r="C208" s="29"/>
    </row>
    <row r="209">
      <c r="C209" s="29"/>
    </row>
    <row r="210">
      <c r="C210" s="29"/>
    </row>
    <row r="211">
      <c r="C211" s="29"/>
    </row>
  </sheetData>
  <mergeCells>
    <mergeCell ref="H3:I3"/>
    <mergeCell ref="A1:E1"/>
    <mergeCell ref="H4:I4"/>
  </mergeCells>
  <conditionalFormatting sqref="D5:D17">
    <cfRule priority="2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{242631BA-F930-464A-B564-ECA5E6FEBFA8}</x14:id>
        </ext>
      </extLst>
    </cfRule>
  </conditionalFormatting>
  <conditionalFormatting sqref="E5:E17">
    <cfRule priority="3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{C21CBFB1-8F65-41FA-B0CA-76726AA55A5B}</x14:id>
        </ext>
      </extLst>
    </cfRule>
  </conditionalFormatting>
  <conditionalFormatting sqref="E5:E17">
    <cfRule priority="4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{B9EA9C5A-F352-4357-8B83-4FD82B34EEFF}</x14:id>
        </ext>
      </extLst>
    </cfRule>
  </conditionalFormatting>
  <conditionalFormatting sqref="E5:E17">
    <cfRule priority="5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{C127F23D-0B22-4301-996A-269B5C2DB2F2}</x14:id>
        </ext>
      </extLst>
    </cfRule>
  </conditionalFormatting>
  <conditionalFormatting sqref="E5:E17">
    <cfRule priority="6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{B6276DA9-2079-4FA4-BBAA-56D0C29F0976}</x14:id>
        </ext>
      </extLst>
    </cfRule>
  </conditionalFormatting>
  <conditionalFormatting sqref="D3:D17">
    <cfRule priority="7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{4169DE28-65A1-471C-B166-677AF441F19D}</x14:id>
        </ext>
      </extLst>
    </cfRule>
  </conditionalFormatting>
  <conditionalFormatting sqref="D3:D17">
    <cfRule priority="8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{5EA1715E-D46C-4A76-9DA3-8477CA0B0EAB}</x14:id>
        </ext>
      </extLst>
    </cfRule>
  </conditionalFormatting>
  <conditionalFormatting sqref="E3:E17">
    <cfRule priority="9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{FDFC15D2-1A90-4D13-9925-F3EE05E9AC76}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2631BA-F930-464A-B564-ECA5E6FEBFA8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D5:D17</xm:sqref>
        </x14:conditionalFormatting>
        <x14:conditionalFormatting xmlns:xm="http://schemas.microsoft.com/office/excel/2006/main">
          <x14:cfRule type="dataBar" id="{C21CBFB1-8F65-41FA-B0CA-76726AA55A5B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B9EA9C5A-F352-4357-8B83-4FD82B34EEFF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C127F23D-0B22-4301-996A-269B5C2DB2F2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B6276DA9-2079-4FA4-BBAA-56D0C29F0976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4169DE28-65A1-471C-B166-677AF441F19D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5EA1715E-D46C-4A76-9DA3-8477CA0B0EAB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FDFC15D2-1A90-4D13-9925-F3EE05E9AC76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E3:E17</xm:sqref>
        </x14:conditionalFormatting>
      </x14:conditionalFormattings>
    </ext>
  </extLst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4" min="4" style="0" width="14"/>
    <col collapsed="false" customWidth="true" hidden="false" max="9" min="9" style="0" width="18"/>
    <col collapsed="false" customWidth="true" hidden="false" max="12" min="12" style="0" width="18"/>
  </cols>
  <sheetData>
    <row customHeight="true" ht="19" r="1">
      <c r="A1" s="50" t="s">
        <v>89</v>
      </c>
      <c r="B1" s="51"/>
      <c r="C1" s="51"/>
      <c r="D1" s="52"/>
      <c r="E1" s="51"/>
      <c r="F1" s="53"/>
      <c r="G1" s="53"/>
      <c r="H1" s="50"/>
      <c r="I1" s="50"/>
      <c r="J1" s="50"/>
      <c r="K1" s="50"/>
      <c r="L1" s="54"/>
      <c r="O1" s="53"/>
      <c r="P1" s="53"/>
      <c r="Q1" s="53"/>
      <c r="R1" s="53"/>
      <c r="S1" s="53"/>
    </row>
    <row r="2">
      <c r="A2" s="51"/>
      <c r="B2" s="50" t="s">
        <v>90</v>
      </c>
      <c r="C2" s="55" t="s">
        <v>91</v>
      </c>
      <c r="D2" s="56" t="s">
        <v>92</v>
      </c>
      <c r="E2" s="57" t="s">
        <v>93</v>
      </c>
      <c r="F2" s="53"/>
      <c r="G2" s="53"/>
      <c r="H2" s="50" t="s">
        <v>94</v>
      </c>
      <c r="I2" s="50" t="s">
        <v>95</v>
      </c>
      <c r="J2" s="50" t="s">
        <v>96</v>
      </c>
      <c r="K2" s="50" t="s">
        <v>97</v>
      </c>
      <c r="L2" s="54"/>
      <c r="O2" s="53"/>
      <c r="P2" s="53"/>
      <c r="Q2" s="53"/>
      <c r="R2" s="53"/>
      <c r="S2" s="53"/>
    </row>
    <row r="3">
      <c r="A3" s="50" t="s">
        <v>98</v>
      </c>
      <c r="B3" s="50">
        <v>33</v>
      </c>
      <c r="C3" s="58"/>
      <c r="D3" s="59"/>
      <c r="E3" s="60"/>
      <c r="F3" s="54"/>
      <c r="G3" s="54"/>
      <c r="H3" s="61" t="s">
        <v>99</v>
      </c>
      <c r="I3" s="61"/>
      <c r="J3" s="61">
        <v>33</v>
      </c>
      <c r="K3" s="61">
        <v>2.91</v>
      </c>
      <c r="L3" s="54"/>
    </row>
    <row customHeight="true" ht="19" r="4">
      <c r="A4" s="62" t="s">
        <v>100</v>
      </c>
      <c r="B4" s="62">
        <v>33</v>
      </c>
      <c r="C4" s="63">
        <f>B4/B3</f>
      </c>
      <c r="D4" s="59"/>
      <c r="E4" s="60"/>
      <c r="F4" s="54"/>
      <c r="G4" s="54"/>
      <c r="H4" s="64">
        <v>44000074</v>
      </c>
      <c r="I4" s="61" t="s">
        <v>101</v>
      </c>
      <c r="J4" s="61">
        <v>10</v>
      </c>
      <c r="K4" s="61">
        <v>2.6</v>
      </c>
      <c r="L4" s="65" t="s">
        <v>102</v>
      </c>
    </row>
    <row customHeight="true" ht="19" r="5">
      <c r="A5" s="62" t="s">
        <v>103</v>
      </c>
      <c r="B5" s="62">
        <v>31</v>
      </c>
      <c r="C5" s="63">
        <f>B5/B3</f>
      </c>
      <c r="D5" s="59"/>
      <c r="E5" s="60"/>
      <c r="F5" s="54"/>
      <c r="G5" s="54"/>
      <c r="H5" s="61">
        <v>23000075</v>
      </c>
      <c r="I5" s="61" t="s">
        <v>104</v>
      </c>
      <c r="J5" s="61">
        <v>6</v>
      </c>
      <c r="K5" s="61">
        <v>5</v>
      </c>
      <c r="L5" s="54"/>
    </row>
    <row customHeight="true" ht="19" r="6">
      <c r="A6" s="62" t="s">
        <v>105</v>
      </c>
      <c r="B6" s="62">
        <v>29</v>
      </c>
      <c r="C6" s="63">
        <f>B6/B3</f>
      </c>
      <c r="D6" s="59"/>
      <c r="E6" s="60"/>
      <c r="F6" s="66"/>
      <c r="G6" s="54"/>
      <c r="H6" s="64">
        <v>44000085</v>
      </c>
      <c r="I6" s="61" t="s">
        <v>106</v>
      </c>
      <c r="J6" s="61">
        <v>4</v>
      </c>
      <c r="K6" s="61">
        <v>2.5</v>
      </c>
      <c r="L6" s="54"/>
    </row>
    <row customHeight="true" ht="19" r="7">
      <c r="A7" s="67" t="s">
        <v>107</v>
      </c>
      <c r="B7" s="67" t="s">
        <v>108</v>
      </c>
      <c r="C7" s="68" t="s">
        <v>109</v>
      </c>
      <c r="D7" s="56"/>
      <c r="E7" s="69"/>
      <c r="F7" s="54"/>
      <c r="G7" s="54"/>
      <c r="H7" s="64">
        <v>44000086</v>
      </c>
      <c r="I7" s="61" t="s">
        <v>110</v>
      </c>
      <c r="J7" s="61">
        <v>4</v>
      </c>
      <c r="K7" s="61">
        <v>2.5</v>
      </c>
      <c r="L7" s="54"/>
    </row>
    <row r="8">
      <c r="A8" s="62" t="s">
        <v>111</v>
      </c>
      <c r="B8" s="62" t="s">
        <v>108</v>
      </c>
      <c r="C8" s="68" t="s">
        <v>109</v>
      </c>
      <c r="D8" s="56"/>
      <c r="E8" s="60"/>
      <c r="F8" s="54"/>
      <c r="G8" s="54"/>
      <c r="H8" s="61">
        <v>44000080</v>
      </c>
      <c r="I8" s="61" t="s">
        <v>112</v>
      </c>
      <c r="J8" s="61">
        <v>1</v>
      </c>
      <c r="K8" s="61">
        <v>2</v>
      </c>
      <c r="L8" s="54"/>
    </row>
    <row customHeight="true" ht="19" r="9">
      <c r="A9" s="67" t="s">
        <v>101</v>
      </c>
      <c r="B9" s="67">
        <v>10</v>
      </c>
      <c r="C9" s="63">
        <f>B9/B3</f>
      </c>
      <c r="D9" s="56" t="s">
        <v>113</v>
      </c>
      <c r="E9" s="60">
        <f>C6-C9</f>
      </c>
      <c r="F9" s="54"/>
      <c r="G9" s="54"/>
      <c r="H9" s="61">
        <v>44000082</v>
      </c>
      <c r="I9" s="61" t="s">
        <v>114</v>
      </c>
      <c r="J9" s="64">
        <v>1</v>
      </c>
      <c r="K9" s="61">
        <v>2</v>
      </c>
      <c r="L9" s="54"/>
    </row>
    <row r="10">
      <c r="A10" s="62" t="s">
        <v>115</v>
      </c>
      <c r="B10" s="62">
        <v>10</v>
      </c>
      <c r="C10" s="63">
        <f>B10/B3</f>
      </c>
      <c r="D10" s="59"/>
      <c r="E10" s="60"/>
      <c r="F10" s="54"/>
      <c r="G10" s="54"/>
      <c r="H10" s="61">
        <v>23000077</v>
      </c>
      <c r="I10" s="61" t="s">
        <v>116</v>
      </c>
      <c r="J10" s="64">
        <v>1</v>
      </c>
      <c r="K10" s="64">
        <v>2</v>
      </c>
      <c r="L10" s="54"/>
    </row>
    <row customHeight="true" ht="19" r="11">
      <c r="A11" s="70" t="s">
        <v>117</v>
      </c>
      <c r="B11" s="62">
        <v>8</v>
      </c>
      <c r="C11" s="63">
        <f>B11/B3</f>
      </c>
      <c r="D11" s="59"/>
      <c r="E11" s="60"/>
      <c r="F11" s="54"/>
      <c r="G11" s="54"/>
      <c r="H11" s="64">
        <v>23000081</v>
      </c>
      <c r="I11" s="61" t="s">
        <v>118</v>
      </c>
      <c r="J11" s="64">
        <v>1</v>
      </c>
      <c r="K11" s="64">
        <v>2</v>
      </c>
      <c r="L11" s="54"/>
    </row>
    <row customHeight="true" ht="21" r="12">
      <c r="A12" s="62" t="s">
        <v>119</v>
      </c>
      <c r="B12" s="62">
        <v>8</v>
      </c>
      <c r="C12" s="63">
        <f>B12/B3</f>
      </c>
      <c r="D12" s="59"/>
      <c r="E12" s="60"/>
      <c r="F12" s="54"/>
      <c r="G12" s="54"/>
      <c r="L12" s="54"/>
    </row>
    <row r="13">
      <c r="A13" s="67" t="s">
        <v>106</v>
      </c>
      <c r="B13" s="67">
        <v>4</v>
      </c>
      <c r="C13" s="63">
        <f>B13/B3</f>
      </c>
      <c r="D13" s="59">
        <f>(B12-B13)/B12</f>
      </c>
      <c r="E13" s="60">
        <f>C12-C13</f>
      </c>
      <c r="F13" s="54"/>
      <c r="G13" s="54"/>
      <c r="L13" s="54"/>
    </row>
    <row customHeight="true" ht="19" r="14">
      <c r="A14" s="62" t="s">
        <v>120</v>
      </c>
      <c r="B14" s="62">
        <v>7</v>
      </c>
      <c r="C14" s="63">
        <f>B14/B3</f>
      </c>
      <c r="D14" s="59"/>
      <c r="E14" s="60"/>
      <c r="F14" s="54"/>
      <c r="H14" s="54"/>
      <c r="I14" s="54"/>
      <c r="J14" s="54"/>
      <c r="K14" s="54"/>
    </row>
    <row r="15">
      <c r="A15" s="71" t="s">
        <v>104</v>
      </c>
      <c r="B15" s="71">
        <v>6</v>
      </c>
      <c r="C15" s="63">
        <f>B15/B3</f>
      </c>
      <c r="D15" s="59">
        <f>(B14-B15)/B14</f>
      </c>
      <c r="E15" s="60">
        <f>C14-C15</f>
      </c>
      <c r="F15" s="54"/>
    </row>
    <row customHeight="true" ht="19" r="16">
      <c r="A16" s="67" t="s">
        <v>121</v>
      </c>
      <c r="B16" s="67">
        <v>1</v>
      </c>
      <c r="C16" s="63">
        <f>B16/B3</f>
      </c>
      <c r="D16" s="59">
        <f>(B14-B16)/B14</f>
      </c>
      <c r="E16" s="60">
        <f>C14-C16</f>
      </c>
      <c r="F16" s="54"/>
    </row>
    <row customHeight="true" ht="19" r="17">
      <c r="A17" s="62" t="s">
        <v>122</v>
      </c>
      <c r="B17" s="62">
        <v>0</v>
      </c>
      <c r="C17" s="63">
        <f>B17/B3</f>
      </c>
      <c r="D17" s="59"/>
      <c r="E17" s="60"/>
      <c r="F17" s="54"/>
    </row>
    <row customHeight="true" ht="19" r="18">
      <c r="A18" s="71" t="s">
        <v>123</v>
      </c>
      <c r="B18" s="71">
        <v>0</v>
      </c>
      <c r="C18" s="63">
        <f>B18/B3</f>
      </c>
      <c r="D18" s="59"/>
      <c r="E18" s="60"/>
      <c r="F18" s="54"/>
    </row>
    <row customHeight="true" ht="19" r="19">
      <c r="F19" s="54"/>
    </row>
    <row r="20">
      <c r="A20" s="72" t="s">
        <v>124</v>
      </c>
      <c r="B20" s="72">
        <v>98.18</v>
      </c>
      <c r="C20" s="54"/>
      <c r="D20" s="54"/>
      <c r="E20" s="54"/>
    </row>
    <row r="21">
      <c r="A21" s="72" t="s">
        <v>125</v>
      </c>
      <c r="B21" s="72">
        <v>5.17</v>
      </c>
    </row>
    <row r="22">
      <c r="A22" s="72" t="s">
        <v>126</v>
      </c>
      <c r="B22" s="72">
        <v>151.71</v>
      </c>
      <c r="D22" s="72"/>
    </row>
    <row customHeight="true" ht="19" r="23">
      <c r="A23" s="72" t="s">
        <v>127</v>
      </c>
      <c r="B23" s="72">
        <v>82</v>
      </c>
    </row>
    <row r="24">
      <c r="A24" s="72" t="s">
        <v>128</v>
      </c>
      <c r="B24" s="72">
        <v>12.44</v>
      </c>
    </row>
    <row r="25">
      <c r="A25" s="72" t="s">
        <v>129</v>
      </c>
      <c r="B25" s="72">
        <v>0</v>
      </c>
    </row>
    <row r="26">
      <c r="A26" s="72" t="s">
        <v>130</v>
      </c>
      <c r="B26" s="73">
        <v>0.07079</v>
      </c>
    </row>
    <row r="27"/>
    <row r="28"/>
    <row r="29"/>
    <row r="30"/>
    <row r="31"/>
    <row r="32"/>
    <row r="33">
      <c r="C33" s="54"/>
    </row>
    <row r="34">
      <c r="C34" s="54"/>
    </row>
    <row r="35">
      <c r="C35" s="54"/>
    </row>
    <row r="36">
      <c r="C36" s="54"/>
    </row>
    <row r="37">
      <c r="C37" s="54"/>
    </row>
    <row r="38">
      <c r="C38" s="54"/>
    </row>
    <row r="39">
      <c r="C39" s="54"/>
    </row>
    <row r="40">
      <c r="C40" s="54"/>
    </row>
    <row r="41">
      <c r="C41" s="54"/>
    </row>
    <row r="42">
      <c r="C42" s="54"/>
    </row>
    <row r="43">
      <c r="C43" s="54"/>
    </row>
    <row r="44">
      <c r="C44" s="54"/>
    </row>
    <row r="45">
      <c r="C45" s="54"/>
    </row>
    <row r="46">
      <c r="C46" s="54"/>
    </row>
    <row r="47">
      <c r="C47" s="54"/>
    </row>
    <row r="48">
      <c r="C48" s="54"/>
    </row>
    <row r="49">
      <c r="C49" s="54"/>
    </row>
    <row r="50">
      <c r="C50" s="54"/>
    </row>
    <row r="51">
      <c r="C51" s="54"/>
    </row>
    <row r="52">
      <c r="C52" s="54"/>
    </row>
    <row r="53">
      <c r="C53" s="54"/>
    </row>
    <row r="54">
      <c r="C54" s="54"/>
    </row>
    <row r="55">
      <c r="C55" s="54"/>
    </row>
    <row r="56">
      <c r="C56" s="54"/>
    </row>
    <row r="57">
      <c r="C57" s="54"/>
    </row>
    <row r="58">
      <c r="C58" s="54"/>
    </row>
    <row r="59">
      <c r="C59" s="54"/>
    </row>
    <row r="60">
      <c r="C60" s="54"/>
    </row>
    <row r="61">
      <c r="C61" s="54"/>
    </row>
    <row r="62">
      <c r="C62" s="54"/>
    </row>
    <row r="63">
      <c r="C63" s="54"/>
    </row>
    <row r="64">
      <c r="C64" s="54"/>
    </row>
    <row r="65">
      <c r="C65" s="54"/>
    </row>
    <row r="66">
      <c r="C66" s="54"/>
    </row>
    <row r="67">
      <c r="C67" s="54"/>
    </row>
    <row r="68">
      <c r="C68" s="54"/>
    </row>
    <row r="69">
      <c r="C69" s="54"/>
    </row>
    <row r="70">
      <c r="C70" s="54"/>
    </row>
    <row r="71">
      <c r="C71" s="54"/>
    </row>
    <row r="72">
      <c r="C72" s="54"/>
    </row>
    <row r="73">
      <c r="C73" s="54"/>
    </row>
    <row r="74">
      <c r="C74" s="54"/>
    </row>
    <row r="75">
      <c r="C75" s="54"/>
    </row>
    <row r="76">
      <c r="C76" s="54"/>
    </row>
    <row r="77">
      <c r="C77" s="54"/>
    </row>
    <row r="78">
      <c r="C78" s="54"/>
    </row>
    <row r="79">
      <c r="C79" s="54"/>
    </row>
    <row r="80">
      <c r="C80" s="54"/>
    </row>
    <row r="81">
      <c r="C81" s="54"/>
    </row>
    <row r="82">
      <c r="C82" s="54"/>
    </row>
    <row r="83">
      <c r="C83" s="54"/>
    </row>
    <row r="84">
      <c r="C84" s="54"/>
    </row>
    <row r="85">
      <c r="C85" s="54"/>
    </row>
    <row r="86">
      <c r="C86" s="54"/>
    </row>
    <row r="87">
      <c r="C87" s="54"/>
    </row>
    <row r="88">
      <c r="C88" s="54"/>
    </row>
    <row r="89">
      <c r="C89" s="54"/>
    </row>
    <row r="90">
      <c r="C90" s="54"/>
    </row>
    <row r="91">
      <c r="C91" s="54"/>
    </row>
    <row r="92">
      <c r="C92" s="54"/>
    </row>
    <row r="93">
      <c r="C93" s="54"/>
    </row>
    <row r="94">
      <c r="C94" s="54"/>
    </row>
    <row r="95">
      <c r="C95" s="54"/>
    </row>
    <row r="96">
      <c r="C96" s="54"/>
    </row>
    <row r="97">
      <c r="C97" s="54"/>
    </row>
    <row r="98">
      <c r="C98" s="54"/>
    </row>
    <row r="99">
      <c r="C99" s="54"/>
    </row>
    <row r="100">
      <c r="C100" s="54"/>
    </row>
    <row r="101">
      <c r="C101" s="54"/>
    </row>
    <row r="102">
      <c r="C102" s="54"/>
    </row>
    <row r="103">
      <c r="C103" s="54"/>
    </row>
    <row r="104">
      <c r="C104" s="54"/>
    </row>
    <row r="105">
      <c r="C105" s="54"/>
    </row>
    <row r="106">
      <c r="C106" s="54"/>
    </row>
    <row r="107">
      <c r="C107" s="54"/>
    </row>
    <row r="108">
      <c r="C108" s="54"/>
    </row>
    <row r="109">
      <c r="C109" s="54"/>
    </row>
    <row r="110">
      <c r="C110" s="54"/>
    </row>
    <row r="111">
      <c r="C111" s="54"/>
    </row>
    <row r="112">
      <c r="C112" s="54"/>
    </row>
    <row r="113">
      <c r="C113" s="54"/>
    </row>
    <row r="114">
      <c r="C114" s="54"/>
    </row>
    <row r="115">
      <c r="C115" s="54"/>
    </row>
    <row r="116">
      <c r="C116" s="54"/>
    </row>
    <row r="117">
      <c r="C117" s="54"/>
    </row>
    <row r="118">
      <c r="C118" s="54"/>
    </row>
    <row r="119">
      <c r="C119" s="54"/>
    </row>
    <row r="120">
      <c r="C120" s="54"/>
    </row>
    <row r="121">
      <c r="C121" s="54"/>
    </row>
    <row r="122">
      <c r="C122" s="54"/>
    </row>
    <row r="123">
      <c r="C123" s="54"/>
    </row>
    <row r="124">
      <c r="C124" s="54"/>
    </row>
    <row r="125">
      <c r="C125" s="54"/>
    </row>
    <row r="126">
      <c r="C126" s="54"/>
    </row>
    <row r="127">
      <c r="C127" s="54"/>
    </row>
    <row r="128">
      <c r="C128" s="54"/>
    </row>
    <row r="129">
      <c r="C129" s="54"/>
    </row>
    <row r="130">
      <c r="C130" s="54"/>
    </row>
    <row r="131">
      <c r="C131" s="54"/>
    </row>
    <row r="132">
      <c r="C132" s="54"/>
    </row>
    <row r="133">
      <c r="C133" s="54"/>
    </row>
    <row r="134">
      <c r="C134" s="54"/>
    </row>
    <row r="135">
      <c r="C135" s="54"/>
    </row>
    <row r="136">
      <c r="C136" s="54"/>
    </row>
    <row r="137">
      <c r="C137" s="54"/>
    </row>
    <row r="138">
      <c r="C138" s="54"/>
    </row>
    <row r="139">
      <c r="C139" s="54"/>
    </row>
    <row r="140">
      <c r="C140" s="54"/>
    </row>
    <row r="141">
      <c r="C141" s="54"/>
    </row>
    <row r="142">
      <c r="C142" s="54"/>
    </row>
    <row r="143">
      <c r="C143" s="54"/>
    </row>
    <row r="144">
      <c r="C144" s="54"/>
    </row>
    <row r="145">
      <c r="C145" s="54"/>
    </row>
    <row r="146">
      <c r="C146" s="54"/>
    </row>
    <row r="147">
      <c r="C147" s="54"/>
    </row>
    <row r="148">
      <c r="C148" s="54"/>
    </row>
    <row r="149">
      <c r="C149" s="54"/>
    </row>
    <row r="150">
      <c r="C150" s="54"/>
    </row>
    <row r="151">
      <c r="C151" s="54"/>
    </row>
    <row r="152">
      <c r="C152" s="54"/>
    </row>
    <row r="153">
      <c r="C153" s="54"/>
    </row>
    <row r="154">
      <c r="C154" s="54"/>
    </row>
    <row r="155">
      <c r="C155" s="54"/>
    </row>
    <row r="156">
      <c r="C156" s="54"/>
    </row>
    <row r="157">
      <c r="C157" s="54"/>
    </row>
    <row r="158">
      <c r="C158" s="54"/>
    </row>
    <row r="159">
      <c r="C159" s="54"/>
    </row>
    <row r="160">
      <c r="C160" s="54"/>
    </row>
    <row r="161">
      <c r="C161" s="54"/>
    </row>
    <row r="162">
      <c r="C162" s="54"/>
    </row>
    <row r="163">
      <c r="C163" s="54"/>
    </row>
    <row r="164">
      <c r="C164" s="54"/>
    </row>
    <row r="165">
      <c r="C165" s="54"/>
    </row>
    <row r="166">
      <c r="C166" s="54"/>
    </row>
    <row r="167">
      <c r="C167" s="54"/>
    </row>
    <row r="168">
      <c r="C168" s="54"/>
    </row>
    <row r="169">
      <c r="C169" s="54"/>
    </row>
    <row r="170">
      <c r="C170" s="54"/>
    </row>
    <row r="171">
      <c r="C171" s="54"/>
    </row>
    <row r="172">
      <c r="C172" s="54"/>
    </row>
    <row r="173">
      <c r="C173" s="54"/>
    </row>
    <row r="174">
      <c r="C174" s="54"/>
    </row>
    <row r="175">
      <c r="C175" s="54"/>
    </row>
    <row r="176">
      <c r="C176" s="54"/>
    </row>
    <row r="177">
      <c r="C177" s="54"/>
    </row>
    <row r="178">
      <c r="C178" s="54"/>
    </row>
    <row r="179">
      <c r="C179" s="54"/>
    </row>
    <row r="180">
      <c r="C180" s="54"/>
    </row>
    <row r="181">
      <c r="C181" s="54"/>
    </row>
    <row r="182">
      <c r="C182" s="54"/>
    </row>
    <row r="183">
      <c r="C183" s="54"/>
    </row>
    <row r="184">
      <c r="C184" s="54"/>
    </row>
    <row r="185">
      <c r="C185" s="54"/>
    </row>
    <row r="186">
      <c r="C186" s="54"/>
    </row>
    <row r="187">
      <c r="C187" s="54"/>
    </row>
    <row r="188">
      <c r="C188" s="54"/>
    </row>
    <row r="189">
      <c r="C189" s="54"/>
    </row>
    <row r="190">
      <c r="C190" s="54"/>
    </row>
    <row r="191">
      <c r="C191" s="54"/>
    </row>
    <row r="192">
      <c r="C192" s="54"/>
    </row>
    <row r="193">
      <c r="C193" s="54"/>
    </row>
    <row r="194">
      <c r="C194" s="54"/>
    </row>
    <row r="195">
      <c r="C195" s="54"/>
    </row>
    <row r="196">
      <c r="C196" s="54"/>
    </row>
    <row r="197">
      <c r="C197" s="54"/>
    </row>
    <row r="198">
      <c r="C198" s="54"/>
    </row>
    <row r="199">
      <c r="C199" s="54"/>
    </row>
    <row r="200">
      <c r="C200" s="54"/>
    </row>
    <row r="201">
      <c r="C201" s="54"/>
    </row>
    <row r="202">
      <c r="C202" s="54"/>
    </row>
    <row r="203">
      <c r="C203" s="54"/>
    </row>
    <row r="204">
      <c r="C204" s="54"/>
    </row>
    <row r="205">
      <c r="C205" s="54"/>
    </row>
    <row r="206">
      <c r="C206" s="54"/>
    </row>
    <row r="207">
      <c r="C207" s="54"/>
    </row>
    <row r="208">
      <c r="C208" s="54"/>
    </row>
    <row r="209">
      <c r="C209" s="54"/>
    </row>
  </sheetData>
  <mergeCells>
    <mergeCell ref="A1:E1"/>
    <mergeCell ref="H3:I3"/>
  </mergeCells>
  <conditionalFormatting sqref="D5:D18">
    <cfRule priority="2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{D123D170-8681-41BE-AB92-B51C5B92AFC9}</x14:id>
        </ext>
      </extLst>
    </cfRule>
  </conditionalFormatting>
  <conditionalFormatting sqref="E5:E18">
    <cfRule priority="3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{ECC2B944-FC13-47A9-B73F-03545A23B9A0}</x14:id>
        </ext>
      </extLst>
    </cfRule>
  </conditionalFormatting>
  <conditionalFormatting sqref="E5:E18">
    <cfRule priority="4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{4592B3E8-2DB4-4A05-8711-A807D8F41BB7}</x14:id>
        </ext>
      </extLst>
    </cfRule>
  </conditionalFormatting>
  <conditionalFormatting sqref="E5:E18">
    <cfRule priority="5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{9C14A769-E4CA-43D1-B0DE-DB95800D4921}</x14:id>
        </ext>
      </extLst>
    </cfRule>
  </conditionalFormatting>
  <conditionalFormatting sqref="E5:E18">
    <cfRule priority="6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{6B94B3FA-7DED-470B-AB78-37CA5DED54EB}</x14:id>
        </ext>
      </extLst>
    </cfRule>
  </conditionalFormatting>
  <conditionalFormatting sqref="D3:D18">
    <cfRule priority="7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{D36AB371-1C64-4C33-976B-7D8DC3E99DE8}</x14:id>
        </ext>
      </extLst>
    </cfRule>
  </conditionalFormatting>
  <conditionalFormatting sqref="D3:D18">
    <cfRule priority="8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{17447B2D-3263-4AA7-86A0-3C32DFDF9BF5}</x14:id>
        </ext>
      </extLst>
    </cfRule>
  </conditionalFormatting>
  <conditionalFormatting sqref="E3:E18">
    <cfRule priority="9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{860783F3-683B-45A3-8709-F001DABD8163}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23D170-8681-41BE-AB92-B51C5B92AFC9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D5:D18</xm:sqref>
        </x14:conditionalFormatting>
        <x14:conditionalFormatting xmlns:xm="http://schemas.microsoft.com/office/excel/2006/main">
          <x14:cfRule type="dataBar" id="{ECC2B944-FC13-47A9-B73F-03545A23B9A0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E5:E18</xm:sqref>
        </x14:conditionalFormatting>
        <x14:conditionalFormatting xmlns:xm="http://schemas.microsoft.com/office/excel/2006/main">
          <x14:cfRule type="dataBar" id="{4592B3E8-2DB4-4A05-8711-A807D8F41BB7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E5:E18</xm:sqref>
        </x14:conditionalFormatting>
        <x14:conditionalFormatting xmlns:xm="http://schemas.microsoft.com/office/excel/2006/main">
          <x14:cfRule type="dataBar" id="{9C14A769-E4CA-43D1-B0DE-DB95800D4921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E5:E18</xm:sqref>
        </x14:conditionalFormatting>
        <x14:conditionalFormatting xmlns:xm="http://schemas.microsoft.com/office/excel/2006/main">
          <x14:cfRule type="dataBar" id="{6B94B3FA-7DED-470B-AB78-37CA5DED54EB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E5:E18</xm:sqref>
        </x14:conditionalFormatting>
        <x14:conditionalFormatting xmlns:xm="http://schemas.microsoft.com/office/excel/2006/main">
          <x14:cfRule type="dataBar" id="{D36AB371-1C64-4C33-976B-7D8DC3E99DE8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D3:D18</xm:sqref>
        </x14:conditionalFormatting>
        <x14:conditionalFormatting xmlns:xm="http://schemas.microsoft.com/office/excel/2006/main">
          <x14:cfRule type="dataBar" id="{17447B2D-3263-4AA7-86A0-3C32DFDF9BF5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D3:D18</xm:sqref>
        </x14:conditionalFormatting>
        <x14:conditionalFormatting xmlns:xm="http://schemas.microsoft.com/office/excel/2006/main">
          <x14:cfRule type="dataBar" id="{860783F3-683B-45A3-8709-F001DABD8163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E3:E18</xm:sqref>
        </x14:conditionalFormatting>
      </x14:conditionalFormattings>
    </ext>
  </extLst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4" min="4" style="0" width="14"/>
    <col collapsed="false" customWidth="true" hidden="false" max="9" min="9" style="0" width="31"/>
    <col collapsed="false" customWidth="true" hidden="false" max="12" min="12" style="0" width="14"/>
  </cols>
  <sheetData>
    <row customHeight="true" ht="19" r="1">
      <c r="A1" s="74" t="s">
        <v>131</v>
      </c>
      <c r="B1" s="75"/>
      <c r="C1" s="75"/>
      <c r="D1" s="76"/>
      <c r="E1" s="75"/>
      <c r="F1" s="77"/>
      <c r="G1" s="77"/>
      <c r="H1" s="78"/>
      <c r="I1" s="79"/>
      <c r="J1" s="78"/>
      <c r="K1" s="78"/>
      <c r="L1" s="80"/>
      <c r="M1" s="80"/>
      <c r="N1" s="80"/>
      <c r="O1" s="77"/>
      <c r="P1" s="77"/>
      <c r="Q1" s="77"/>
      <c r="R1" s="77"/>
      <c r="S1" s="77"/>
    </row>
    <row r="2">
      <c r="A2" s="75"/>
      <c r="B2" s="74" t="s">
        <v>132</v>
      </c>
      <c r="C2" s="81" t="s">
        <v>133</v>
      </c>
      <c r="D2" s="82" t="s">
        <v>134</v>
      </c>
      <c r="E2" s="83" t="s">
        <v>135</v>
      </c>
      <c r="F2" s="77"/>
      <c r="G2" s="77"/>
      <c r="H2" s="74" t="s">
        <v>136</v>
      </c>
      <c r="I2" s="84" t="s">
        <v>137</v>
      </c>
      <c r="J2" s="74" t="s">
        <v>138</v>
      </c>
      <c r="K2" s="74" t="s">
        <v>139</v>
      </c>
      <c r="L2" s="80"/>
      <c r="M2" s="80"/>
      <c r="N2" s="80"/>
      <c r="O2" s="80"/>
      <c r="P2" s="80"/>
      <c r="Q2" s="80"/>
      <c r="R2" s="80"/>
      <c r="S2" s="80"/>
    </row>
    <row r="3">
      <c r="A3" s="85" t="s">
        <v>140</v>
      </c>
      <c r="B3" s="85">
        <v>61</v>
      </c>
      <c r="C3" s="86"/>
      <c r="D3" s="87"/>
      <c r="E3" s="88"/>
      <c r="F3" s="89"/>
      <c r="G3" s="89"/>
      <c r="H3" s="90" t="s">
        <v>140</v>
      </c>
      <c r="I3" s="90"/>
      <c r="J3" s="91">
        <f>35+28</f>
      </c>
      <c r="K3" s="90">
        <v>2.63</v>
      </c>
      <c r="L3" s="89"/>
    </row>
    <row customHeight="true" ht="19" r="4">
      <c r="A4" s="92" t="s">
        <v>141</v>
      </c>
      <c r="B4" s="92">
        <v>61</v>
      </c>
      <c r="C4" s="93">
        <f>B4/B3</f>
      </c>
      <c r="D4" s="87"/>
      <c r="E4" s="88"/>
      <c r="F4" s="89"/>
      <c r="G4" s="89"/>
      <c r="H4" s="94">
        <v>23000073</v>
      </c>
      <c r="I4" s="90" t="s">
        <v>142</v>
      </c>
      <c r="J4" s="91">
        <v>39</v>
      </c>
      <c r="K4" s="91">
        <v>2.16</v>
      </c>
      <c r="L4" s="89"/>
    </row>
    <row customHeight="true" ht="19" r="5">
      <c r="A5" s="95" t="s">
        <v>143</v>
      </c>
      <c r="B5" s="95">
        <v>39</v>
      </c>
      <c r="C5" s="93">
        <f>B5/B3</f>
      </c>
      <c r="D5" s="87">
        <f>(B4-B5)/B4</f>
      </c>
      <c r="E5" s="88">
        <f>C4-C5</f>
      </c>
      <c r="F5" s="89"/>
      <c r="G5" s="89"/>
      <c r="H5" s="94">
        <v>44000074</v>
      </c>
      <c r="I5" s="96" t="s">
        <v>144</v>
      </c>
      <c r="J5" s="91">
        <v>28</v>
      </c>
      <c r="K5" s="91">
        <v>8.86</v>
      </c>
      <c r="L5" s="89"/>
    </row>
    <row customHeight="true" ht="19" r="6">
      <c r="A6" s="92" t="s">
        <v>145</v>
      </c>
      <c r="B6" s="92">
        <v>53</v>
      </c>
      <c r="C6" s="93">
        <f>B6/B3</f>
      </c>
      <c r="D6" s="87"/>
      <c r="E6" s="88"/>
      <c r="F6" s="97"/>
      <c r="G6" s="89"/>
      <c r="H6" s="94">
        <v>44000085</v>
      </c>
      <c r="I6" s="96" t="s">
        <v>146</v>
      </c>
      <c r="J6" s="91">
        <v>19</v>
      </c>
      <c r="K6" s="91">
        <v>2.11</v>
      </c>
      <c r="L6" s="89"/>
    </row>
    <row r="7">
      <c r="A7" s="98" t="s">
        <v>147</v>
      </c>
      <c r="B7" s="98">
        <v>28</v>
      </c>
      <c r="C7" s="93">
        <f>B7/B3</f>
      </c>
      <c r="D7" s="87">
        <f>(B6-B7)/B6</f>
      </c>
      <c r="E7" s="88">
        <f>C6-C7</f>
      </c>
      <c r="F7" s="89"/>
      <c r="G7" s="89"/>
      <c r="H7" s="94">
        <v>44000080</v>
      </c>
      <c r="I7" s="96" t="s">
        <v>148</v>
      </c>
      <c r="J7" s="91">
        <v>10</v>
      </c>
      <c r="K7" s="91">
        <v>2.8</v>
      </c>
      <c r="L7" s="89"/>
    </row>
    <row customHeight="true" ht="19" r="8">
      <c r="A8" s="92" t="s">
        <v>149</v>
      </c>
      <c r="B8" s="92">
        <v>26</v>
      </c>
      <c r="C8" s="93">
        <f>B8/B3</f>
      </c>
      <c r="D8" s="87"/>
      <c r="E8" s="88"/>
      <c r="F8" s="89"/>
      <c r="G8" s="89"/>
      <c r="H8" s="94">
        <v>23000080</v>
      </c>
      <c r="I8" s="99" t="s">
        <v>150</v>
      </c>
      <c r="J8" s="91">
        <v>9</v>
      </c>
      <c r="K8" s="91">
        <v>2.89</v>
      </c>
      <c r="L8" s="89"/>
    </row>
    <row r="9">
      <c r="A9" s="95" t="s">
        <v>151</v>
      </c>
      <c r="B9" s="95">
        <v>1</v>
      </c>
      <c r="C9" s="93">
        <f>B9/B3</f>
      </c>
      <c r="D9" s="87">
        <f>(B8-B9)/B8</f>
      </c>
      <c r="E9" s="88">
        <f>C8-C9</f>
      </c>
      <c r="F9" s="89"/>
      <c r="G9" s="89"/>
      <c r="H9" s="94">
        <v>44000086</v>
      </c>
      <c r="I9" s="96" t="s">
        <v>152</v>
      </c>
      <c r="J9" s="91">
        <v>7</v>
      </c>
      <c r="K9" s="91">
        <v>3.71</v>
      </c>
      <c r="L9" s="89"/>
    </row>
    <row customHeight="true" ht="19" r="10">
      <c r="A10" s="100" t="s">
        <v>153</v>
      </c>
      <c r="B10" s="92">
        <v>19</v>
      </c>
      <c r="C10" s="93">
        <f>B10/B3</f>
      </c>
      <c r="D10" s="87"/>
      <c r="E10" s="88"/>
      <c r="F10" s="89"/>
      <c r="G10" s="89"/>
      <c r="H10" s="94">
        <v>23000074</v>
      </c>
      <c r="I10" s="99" t="s">
        <v>154</v>
      </c>
      <c r="J10" s="91">
        <v>1</v>
      </c>
      <c r="K10" s="91">
        <v>2</v>
      </c>
      <c r="L10" s="89"/>
    </row>
    <row customHeight="true" ht="21" r="11">
      <c r="A11" s="92" t="s">
        <v>155</v>
      </c>
      <c r="B11" s="92">
        <v>19</v>
      </c>
      <c r="C11" s="93">
        <f>B11/B3</f>
      </c>
      <c r="D11" s="87"/>
      <c r="E11" s="88"/>
      <c r="F11" s="89"/>
      <c r="G11" s="89"/>
      <c r="H11" s="94">
        <v>23000075</v>
      </c>
      <c r="I11" s="99" t="s">
        <v>156</v>
      </c>
      <c r="J11" s="91">
        <v>1</v>
      </c>
      <c r="K11" s="91">
        <v>4</v>
      </c>
      <c r="L11" s="89"/>
    </row>
    <row r="12">
      <c r="A12" s="98" t="s">
        <v>157</v>
      </c>
      <c r="B12" s="98">
        <v>19</v>
      </c>
      <c r="C12" s="93">
        <f>B12/B3</f>
      </c>
      <c r="D12" s="87">
        <f>(B11-B12)/B11</f>
      </c>
      <c r="E12" s="88">
        <f>C11-C12</f>
      </c>
      <c r="F12" s="89"/>
      <c r="G12" s="89"/>
      <c r="H12" s="94">
        <v>23000076</v>
      </c>
      <c r="I12" s="96" t="s">
        <v>158</v>
      </c>
      <c r="J12" s="91">
        <v>1</v>
      </c>
      <c r="K12" s="91">
        <v>2</v>
      </c>
      <c r="L12" s="89"/>
    </row>
    <row customHeight="true" ht="19" r="13">
      <c r="A13" s="92" t="s">
        <v>159</v>
      </c>
      <c r="B13" s="92">
        <v>16</v>
      </c>
      <c r="C13" s="93">
        <f>B13/B3</f>
      </c>
      <c r="D13" s="87"/>
      <c r="E13" s="88"/>
      <c r="F13" s="89"/>
      <c r="H13" s="89"/>
      <c r="I13" s="101"/>
      <c r="J13" s="89"/>
      <c r="K13" s="89"/>
    </row>
    <row r="14">
      <c r="A14" s="95" t="s">
        <v>160</v>
      </c>
      <c r="B14" s="95">
        <v>1</v>
      </c>
      <c r="C14" s="93">
        <f>B14/B3</f>
      </c>
      <c r="D14" s="87">
        <f>(B13-B14)/B13</f>
      </c>
      <c r="E14" s="88">
        <f>C13-C14</f>
      </c>
      <c r="F14" s="89"/>
      <c r="I14" s="101"/>
    </row>
    <row customHeight="true" ht="19" r="15">
      <c r="A15" s="98" t="s">
        <v>161</v>
      </c>
      <c r="B15" s="98">
        <v>10</v>
      </c>
      <c r="C15" s="93">
        <f>B15/B3</f>
      </c>
      <c r="D15" s="87">
        <f>(B13-B15)/B13</f>
      </c>
      <c r="E15" s="88">
        <f>C13-C15</f>
      </c>
      <c r="F15" s="89"/>
      <c r="I15" s="101"/>
    </row>
    <row customHeight="true" ht="19" r="16">
      <c r="A16" s="92" t="s">
        <v>162</v>
      </c>
      <c r="B16" s="92">
        <v>6</v>
      </c>
      <c r="C16" s="93">
        <f>B16/B3</f>
      </c>
      <c r="D16" s="87"/>
      <c r="E16" s="88"/>
      <c r="F16" s="89"/>
      <c r="I16" s="101"/>
    </row>
    <row customHeight="true" ht="19" r="17">
      <c r="A17" s="95" t="s">
        <v>163</v>
      </c>
      <c r="B17" s="95">
        <v>1</v>
      </c>
      <c r="C17" s="93">
        <f>B17/B3</f>
      </c>
      <c r="D17" s="87">
        <f>(B16-B17)/B16</f>
      </c>
      <c r="E17" s="88">
        <f>C16-C17</f>
      </c>
      <c r="F17" s="89"/>
      <c r="I17" s="101"/>
    </row>
    <row customHeight="true" ht="19" r="18">
      <c r="F18" s="89"/>
      <c r="I18" s="101"/>
    </row>
    <row r="19">
      <c r="A19" s="89"/>
      <c r="B19" s="89"/>
      <c r="C19" s="89"/>
      <c r="D19" s="89"/>
      <c r="E19" s="89"/>
      <c r="I19" s="101"/>
    </row>
    <row r="20">
      <c r="I20" s="101"/>
    </row>
    <row r="21">
      <c r="I21" s="101"/>
    </row>
    <row r="22">
      <c r="I22" s="101"/>
    </row>
    <row r="23">
      <c r="I23" s="101"/>
    </row>
    <row r="24">
      <c r="I24" s="101"/>
    </row>
    <row r="25">
      <c r="I25" s="101"/>
    </row>
    <row r="26">
      <c r="I26" s="101"/>
    </row>
    <row r="27">
      <c r="I27" s="101"/>
    </row>
    <row r="28">
      <c r="I28" s="101"/>
    </row>
    <row r="29">
      <c r="I29" s="101"/>
    </row>
    <row r="30">
      <c r="I30" s="101"/>
    </row>
    <row r="31">
      <c r="C31" s="89"/>
      <c r="I31" s="101"/>
    </row>
    <row r="32">
      <c r="C32" s="89"/>
      <c r="I32" s="101"/>
    </row>
    <row r="33">
      <c r="C33" s="89"/>
      <c r="I33" s="101"/>
    </row>
    <row r="34">
      <c r="C34" s="89"/>
      <c r="I34" s="101"/>
    </row>
    <row r="35">
      <c r="C35" s="89"/>
      <c r="I35" s="101"/>
    </row>
    <row r="36">
      <c r="C36" s="89"/>
      <c r="I36" s="101"/>
    </row>
    <row r="37">
      <c r="C37" s="89"/>
      <c r="I37" s="101"/>
    </row>
    <row r="38">
      <c r="C38" s="89"/>
      <c r="I38" s="101"/>
    </row>
    <row r="39">
      <c r="C39" s="89"/>
      <c r="I39" s="101"/>
    </row>
    <row r="40">
      <c r="C40" s="89"/>
      <c r="I40" s="101"/>
    </row>
    <row r="41">
      <c r="C41" s="89"/>
      <c r="I41" s="101"/>
    </row>
    <row r="42">
      <c r="C42" s="89"/>
      <c r="I42" s="101"/>
    </row>
    <row r="43">
      <c r="C43" s="89"/>
      <c r="I43" s="101"/>
    </row>
    <row r="44">
      <c r="C44" s="89"/>
      <c r="I44" s="101"/>
    </row>
    <row r="45">
      <c r="C45" s="89"/>
      <c r="I45" s="101"/>
    </row>
    <row r="46">
      <c r="C46" s="89"/>
      <c r="I46" s="101"/>
    </row>
    <row r="47">
      <c r="C47" s="89"/>
      <c r="I47" s="101"/>
    </row>
    <row r="48">
      <c r="C48" s="89"/>
      <c r="I48" s="101"/>
    </row>
    <row r="49">
      <c r="C49" s="89"/>
      <c r="I49" s="101"/>
    </row>
    <row r="50">
      <c r="C50" s="89"/>
      <c r="I50" s="101"/>
    </row>
    <row r="51">
      <c r="C51" s="89"/>
      <c r="I51" s="101"/>
    </row>
    <row r="52">
      <c r="C52" s="89"/>
      <c r="I52" s="101"/>
    </row>
    <row r="53">
      <c r="C53" s="89"/>
      <c r="I53" s="101"/>
    </row>
    <row r="54">
      <c r="C54" s="89"/>
      <c r="I54" s="101"/>
    </row>
    <row r="55">
      <c r="C55" s="89"/>
      <c r="I55" s="101"/>
    </row>
    <row r="56">
      <c r="C56" s="89"/>
      <c r="I56" s="101"/>
    </row>
    <row r="57">
      <c r="C57" s="89"/>
      <c r="I57" s="101"/>
    </row>
    <row r="58">
      <c r="C58" s="89"/>
      <c r="I58" s="101"/>
    </row>
    <row r="59">
      <c r="C59" s="89"/>
      <c r="I59" s="101"/>
    </row>
    <row r="60">
      <c r="C60" s="89"/>
      <c r="I60" s="101"/>
    </row>
    <row r="61">
      <c r="C61" s="89"/>
      <c r="I61" s="101"/>
    </row>
    <row r="62">
      <c r="C62" s="89"/>
      <c r="I62" s="101"/>
    </row>
    <row r="63">
      <c r="C63" s="89"/>
      <c r="I63" s="101"/>
    </row>
    <row r="64">
      <c r="C64" s="89"/>
      <c r="I64" s="101"/>
    </row>
    <row r="65">
      <c r="C65" s="89"/>
      <c r="I65" s="101"/>
    </row>
    <row r="66">
      <c r="C66" s="89"/>
      <c r="I66" s="101"/>
    </row>
    <row r="67">
      <c r="C67" s="89"/>
      <c r="I67" s="101"/>
    </row>
    <row r="68">
      <c r="C68" s="89"/>
      <c r="I68" s="101"/>
    </row>
    <row r="69">
      <c r="C69" s="89"/>
      <c r="I69" s="101"/>
    </row>
    <row r="70">
      <c r="C70" s="89"/>
      <c r="I70" s="101"/>
    </row>
    <row r="71">
      <c r="C71" s="89"/>
      <c r="I71" s="101"/>
    </row>
    <row r="72">
      <c r="C72" s="89"/>
      <c r="I72" s="101"/>
    </row>
    <row r="73">
      <c r="C73" s="89"/>
      <c r="I73" s="101"/>
    </row>
    <row r="74">
      <c r="C74" s="89"/>
      <c r="I74" s="101"/>
    </row>
    <row r="75">
      <c r="C75" s="89"/>
      <c r="I75" s="101"/>
    </row>
    <row r="76">
      <c r="C76" s="89"/>
      <c r="I76" s="101"/>
    </row>
    <row r="77">
      <c r="C77" s="89"/>
      <c r="I77" s="101"/>
    </row>
    <row r="78">
      <c r="C78" s="89"/>
      <c r="I78" s="101"/>
    </row>
    <row r="79">
      <c r="C79" s="89"/>
      <c r="I79" s="101"/>
    </row>
    <row r="80">
      <c r="C80" s="89"/>
      <c r="I80" s="101"/>
    </row>
    <row r="81">
      <c r="C81" s="89"/>
      <c r="I81" s="101"/>
    </row>
    <row r="82">
      <c r="C82" s="89"/>
      <c r="I82" s="101"/>
    </row>
    <row r="83">
      <c r="C83" s="89"/>
      <c r="I83" s="101"/>
    </row>
    <row r="84">
      <c r="C84" s="89"/>
      <c r="I84" s="101"/>
    </row>
    <row r="85">
      <c r="C85" s="89"/>
      <c r="I85" s="101"/>
    </row>
    <row r="86">
      <c r="C86" s="89"/>
      <c r="I86" s="101"/>
    </row>
    <row r="87">
      <c r="C87" s="89"/>
      <c r="I87" s="101"/>
    </row>
    <row r="88">
      <c r="C88" s="89"/>
      <c r="I88" s="101"/>
    </row>
    <row r="89">
      <c r="C89" s="89"/>
      <c r="I89" s="101"/>
    </row>
    <row r="90">
      <c r="C90" s="89"/>
      <c r="I90" s="101"/>
    </row>
    <row r="91">
      <c r="C91" s="89"/>
      <c r="I91" s="101"/>
    </row>
    <row r="92">
      <c r="C92" s="89"/>
      <c r="I92" s="101"/>
    </row>
    <row r="93">
      <c r="C93" s="89"/>
      <c r="I93" s="101"/>
    </row>
    <row r="94">
      <c r="C94" s="89"/>
      <c r="I94" s="101"/>
    </row>
    <row r="95">
      <c r="C95" s="89"/>
      <c r="I95" s="101"/>
    </row>
    <row r="96">
      <c r="C96" s="89"/>
      <c r="I96" s="101"/>
    </row>
    <row r="97">
      <c r="C97" s="89"/>
      <c r="I97" s="101"/>
    </row>
    <row r="98">
      <c r="C98" s="89"/>
      <c r="I98" s="101"/>
    </row>
    <row r="99">
      <c r="C99" s="89"/>
      <c r="I99" s="101"/>
    </row>
    <row r="100">
      <c r="C100" s="89"/>
      <c r="I100" s="101"/>
    </row>
    <row r="101">
      <c r="C101" s="89"/>
      <c r="I101" s="101"/>
    </row>
    <row r="102">
      <c r="C102" s="89"/>
      <c r="I102" s="101"/>
    </row>
    <row r="103">
      <c r="C103" s="89"/>
      <c r="I103" s="101"/>
    </row>
    <row r="104">
      <c r="C104" s="89"/>
      <c r="I104" s="101"/>
    </row>
    <row r="105">
      <c r="C105" s="89"/>
      <c r="I105" s="101"/>
    </row>
    <row r="106">
      <c r="C106" s="89"/>
      <c r="I106" s="101"/>
    </row>
    <row r="107">
      <c r="C107" s="89"/>
      <c r="I107" s="101"/>
    </row>
    <row r="108">
      <c r="C108" s="89"/>
      <c r="I108" s="101"/>
    </row>
    <row r="109">
      <c r="C109" s="89"/>
      <c r="I109" s="101"/>
    </row>
    <row r="110">
      <c r="C110" s="89"/>
      <c r="I110" s="101"/>
    </row>
    <row r="111">
      <c r="C111" s="89"/>
      <c r="I111" s="101"/>
    </row>
    <row r="112">
      <c r="C112" s="89"/>
      <c r="I112" s="101"/>
    </row>
    <row r="113">
      <c r="C113" s="89"/>
      <c r="I113" s="101"/>
    </row>
    <row r="114">
      <c r="C114" s="89"/>
      <c r="I114" s="101"/>
    </row>
    <row r="115">
      <c r="C115" s="89"/>
      <c r="I115" s="101"/>
    </row>
    <row r="116">
      <c r="C116" s="89"/>
      <c r="I116" s="101"/>
    </row>
    <row r="117">
      <c r="C117" s="89"/>
      <c r="I117" s="101"/>
    </row>
    <row r="118">
      <c r="C118" s="89"/>
      <c r="I118" s="101"/>
    </row>
    <row r="119">
      <c r="C119" s="89"/>
      <c r="I119" s="101"/>
    </row>
    <row r="120">
      <c r="C120" s="89"/>
      <c r="I120" s="101"/>
    </row>
    <row r="121">
      <c r="C121" s="89"/>
      <c r="I121" s="101"/>
    </row>
    <row r="122">
      <c r="C122" s="89"/>
      <c r="I122" s="101"/>
    </row>
    <row r="123">
      <c r="C123" s="89"/>
      <c r="I123" s="101"/>
    </row>
    <row r="124">
      <c r="C124" s="89"/>
      <c r="I124" s="101"/>
    </row>
    <row r="125">
      <c r="C125" s="89"/>
      <c r="I125" s="101"/>
    </row>
    <row r="126">
      <c r="C126" s="89"/>
      <c r="I126" s="101"/>
    </row>
    <row r="127">
      <c r="C127" s="89"/>
      <c r="I127" s="101"/>
    </row>
    <row r="128">
      <c r="C128" s="89"/>
      <c r="I128" s="101"/>
    </row>
    <row r="129">
      <c r="C129" s="89"/>
      <c r="I129" s="101"/>
    </row>
    <row r="130">
      <c r="C130" s="89"/>
      <c r="I130" s="101"/>
    </row>
    <row r="131">
      <c r="C131" s="89"/>
      <c r="I131" s="101"/>
    </row>
    <row r="132">
      <c r="C132" s="89"/>
      <c r="I132" s="101"/>
    </row>
    <row r="133">
      <c r="C133" s="89"/>
      <c r="I133" s="101"/>
    </row>
    <row r="134">
      <c r="C134" s="89"/>
      <c r="I134" s="101"/>
    </row>
    <row r="135">
      <c r="C135" s="89"/>
      <c r="I135" s="101"/>
    </row>
    <row r="136">
      <c r="C136" s="89"/>
      <c r="I136" s="101"/>
    </row>
    <row r="137">
      <c r="C137" s="89"/>
      <c r="I137" s="101"/>
    </row>
    <row r="138">
      <c r="C138" s="89"/>
      <c r="I138" s="101"/>
    </row>
    <row r="139">
      <c r="C139" s="89"/>
      <c r="I139" s="101"/>
    </row>
    <row r="140">
      <c r="C140" s="89"/>
      <c r="I140" s="101"/>
    </row>
    <row r="141">
      <c r="C141" s="89"/>
      <c r="I141" s="101"/>
    </row>
    <row r="142">
      <c r="C142" s="89"/>
      <c r="I142" s="101"/>
    </row>
    <row r="143">
      <c r="C143" s="89"/>
      <c r="I143" s="101"/>
    </row>
    <row r="144">
      <c r="C144" s="89"/>
      <c r="I144" s="101"/>
    </row>
    <row r="145">
      <c r="C145" s="89"/>
      <c r="I145" s="101"/>
    </row>
    <row r="146">
      <c r="C146" s="89"/>
      <c r="I146" s="101"/>
    </row>
    <row r="147">
      <c r="C147" s="89"/>
      <c r="I147" s="101"/>
    </row>
    <row r="148">
      <c r="C148" s="89"/>
      <c r="I148" s="101"/>
    </row>
    <row r="149">
      <c r="C149" s="89"/>
      <c r="I149" s="101"/>
    </row>
    <row r="150">
      <c r="C150" s="89"/>
      <c r="I150" s="101"/>
    </row>
    <row r="151">
      <c r="C151" s="89"/>
      <c r="I151" s="101"/>
    </row>
    <row r="152">
      <c r="C152" s="89"/>
      <c r="I152" s="101"/>
    </row>
    <row r="153">
      <c r="C153" s="89"/>
      <c r="I153" s="101"/>
    </row>
    <row r="154">
      <c r="C154" s="89"/>
      <c r="I154" s="101"/>
    </row>
    <row r="155">
      <c r="C155" s="89"/>
      <c r="I155" s="101"/>
    </row>
    <row r="156">
      <c r="C156" s="89"/>
      <c r="I156" s="101"/>
    </row>
    <row r="157">
      <c r="C157" s="89"/>
      <c r="I157" s="101"/>
    </row>
    <row r="158">
      <c r="C158" s="89"/>
      <c r="I158" s="101"/>
    </row>
    <row r="159">
      <c r="C159" s="89"/>
      <c r="I159" s="101"/>
    </row>
    <row r="160">
      <c r="C160" s="89"/>
      <c r="I160" s="101"/>
    </row>
    <row r="161">
      <c r="C161" s="89"/>
      <c r="I161" s="101"/>
    </row>
    <row r="162">
      <c r="C162" s="89"/>
      <c r="I162" s="101"/>
    </row>
    <row r="163">
      <c r="C163" s="89"/>
      <c r="I163" s="101"/>
    </row>
    <row r="164">
      <c r="C164" s="89"/>
      <c r="I164" s="101"/>
    </row>
    <row r="165">
      <c r="C165" s="89"/>
      <c r="I165" s="101"/>
    </row>
    <row r="166">
      <c r="C166" s="89"/>
      <c r="I166" s="101"/>
    </row>
    <row r="167">
      <c r="C167" s="89"/>
      <c r="I167" s="101"/>
    </row>
    <row r="168">
      <c r="C168" s="89"/>
      <c r="I168" s="101"/>
    </row>
    <row r="169">
      <c r="C169" s="89"/>
      <c r="I169" s="101"/>
    </row>
    <row r="170">
      <c r="C170" s="89"/>
      <c r="I170" s="101"/>
    </row>
    <row r="171">
      <c r="C171" s="89"/>
      <c r="I171" s="101"/>
    </row>
    <row r="172">
      <c r="C172" s="89"/>
      <c r="I172" s="101"/>
    </row>
    <row r="173">
      <c r="C173" s="89"/>
      <c r="I173" s="101"/>
    </row>
    <row r="174">
      <c r="C174" s="89"/>
      <c r="I174" s="101"/>
    </row>
    <row r="175">
      <c r="C175" s="89"/>
      <c r="I175" s="101"/>
    </row>
    <row r="176">
      <c r="C176" s="89"/>
      <c r="I176" s="101"/>
    </row>
    <row r="177">
      <c r="C177" s="89"/>
      <c r="I177" s="101"/>
    </row>
    <row r="178">
      <c r="C178" s="89"/>
      <c r="I178" s="101"/>
    </row>
    <row r="179">
      <c r="C179" s="89"/>
      <c r="I179" s="101"/>
    </row>
    <row r="180">
      <c r="C180" s="89"/>
      <c r="I180" s="101"/>
    </row>
    <row r="181">
      <c r="C181" s="89"/>
      <c r="I181" s="101"/>
    </row>
    <row r="182">
      <c r="C182" s="89"/>
      <c r="I182" s="101"/>
    </row>
    <row r="183">
      <c r="C183" s="89"/>
      <c r="I183" s="101"/>
    </row>
    <row r="184">
      <c r="C184" s="89"/>
      <c r="I184" s="101"/>
    </row>
    <row r="185">
      <c r="C185" s="89"/>
      <c r="I185" s="101"/>
    </row>
    <row r="186">
      <c r="C186" s="89"/>
      <c r="I186" s="101"/>
    </row>
    <row r="187">
      <c r="C187" s="89"/>
      <c r="I187" s="101"/>
    </row>
    <row r="188">
      <c r="C188" s="89"/>
      <c r="I188" s="101"/>
    </row>
    <row r="189">
      <c r="C189" s="89"/>
      <c r="I189" s="101"/>
    </row>
    <row r="190">
      <c r="C190" s="89"/>
      <c r="I190" s="101"/>
    </row>
    <row r="191">
      <c r="C191" s="89"/>
      <c r="I191" s="101"/>
    </row>
    <row r="192">
      <c r="C192" s="89"/>
      <c r="I192" s="101"/>
    </row>
    <row r="193">
      <c r="C193" s="89"/>
      <c r="I193" s="101"/>
    </row>
    <row r="194">
      <c r="C194" s="89"/>
      <c r="I194" s="101"/>
    </row>
    <row r="195">
      <c r="C195" s="89"/>
      <c r="I195" s="101"/>
    </row>
    <row r="196">
      <c r="C196" s="89"/>
      <c r="I196" s="101"/>
    </row>
    <row r="197">
      <c r="C197" s="89"/>
      <c r="I197" s="101"/>
    </row>
    <row r="198">
      <c r="C198" s="89"/>
      <c r="I198" s="101"/>
    </row>
    <row r="199">
      <c r="C199" s="89"/>
      <c r="I199" s="101"/>
    </row>
    <row r="200">
      <c r="C200" s="89"/>
      <c r="I200" s="101"/>
    </row>
    <row r="201">
      <c r="C201" s="89"/>
      <c r="I201" s="101"/>
    </row>
    <row r="202">
      <c r="C202" s="89"/>
      <c r="I202" s="101"/>
    </row>
    <row r="203">
      <c r="C203" s="89"/>
      <c r="I203" s="101"/>
    </row>
    <row r="204">
      <c r="C204" s="89"/>
      <c r="I204" s="101"/>
    </row>
    <row r="205">
      <c r="C205" s="89"/>
      <c r="I205" s="101"/>
    </row>
    <row r="206">
      <c r="C206" s="89"/>
      <c r="I206" s="101"/>
    </row>
    <row r="207">
      <c r="C207" s="89"/>
      <c r="I207" s="101"/>
    </row>
  </sheetData>
  <mergeCells>
    <mergeCell ref="A1:E1"/>
    <mergeCell ref="H3:I3"/>
  </mergeCells>
  <conditionalFormatting sqref="D5:D17">
    <cfRule priority="2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{47B82DA5-E289-41F0-8CDC-BDAC3DFEE39D}</x14:id>
        </ext>
      </extLst>
    </cfRule>
  </conditionalFormatting>
  <conditionalFormatting sqref="E5:E17">
    <cfRule priority="3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{A8B06150-599E-4C09-A34B-D1EBF616705A}</x14:id>
        </ext>
      </extLst>
    </cfRule>
  </conditionalFormatting>
  <conditionalFormatting sqref="E5:E17">
    <cfRule priority="4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{06F9929F-3227-47D3-93FD-B7D610835533}</x14:id>
        </ext>
      </extLst>
    </cfRule>
  </conditionalFormatting>
  <conditionalFormatting sqref="E5:E17">
    <cfRule priority="5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{020833C7-D6F3-46E2-82F4-45BA0B7A2785}</x14:id>
        </ext>
      </extLst>
    </cfRule>
  </conditionalFormatting>
  <conditionalFormatting sqref="E5:E17">
    <cfRule priority="6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{0268E59D-D557-40E7-B6F1-2DC256744718}</x14:id>
        </ext>
      </extLst>
    </cfRule>
  </conditionalFormatting>
  <conditionalFormatting sqref="D3:D17">
    <cfRule priority="7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{4466CE9D-D8C9-4440-B790-107811111250}</x14:id>
        </ext>
      </extLst>
    </cfRule>
  </conditionalFormatting>
  <conditionalFormatting sqref="D3:D17">
    <cfRule priority="8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{732A62E5-C2E9-4D61-8CEC-BB396B94C130}</x14:id>
        </ext>
      </extLst>
    </cfRule>
  </conditionalFormatting>
  <conditionalFormatting sqref="E3:E17">
    <cfRule priority="9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{D302CFC8-9393-40C9-98CA-6369DBBCFE0C}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B82DA5-E289-41F0-8CDC-BDAC3DFEE39D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D5:D17</xm:sqref>
        </x14:conditionalFormatting>
        <x14:conditionalFormatting xmlns:xm="http://schemas.microsoft.com/office/excel/2006/main">
          <x14:cfRule type="dataBar" id="{A8B06150-599E-4C09-A34B-D1EBF616705A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06F9929F-3227-47D3-93FD-B7D610835533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020833C7-D6F3-46E2-82F4-45BA0B7A2785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0268E59D-D557-40E7-B6F1-2DC256744718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4466CE9D-D8C9-4440-B790-107811111250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732A62E5-C2E9-4D61-8CEC-BB396B94C130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D302CFC8-9393-40C9-98CA-6369DBBCFE0C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E3:E17</xm:sqref>
        </x14:conditionalFormatting>
      </x14:conditionalFormattings>
    </ext>
  </extLst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4" min="4" style="0" width="14"/>
    <col collapsed="false" customWidth="true" hidden="false" max="9" min="9" style="0" width="18"/>
    <col collapsed="false" customWidth="true" hidden="false" max="12" min="12" style="0" width="14"/>
  </cols>
  <sheetData>
    <row customHeight="true" ht="19" r="1">
      <c r="A1" s="102" t="s">
        <v>164</v>
      </c>
      <c r="B1" s="103"/>
      <c r="C1" s="103"/>
      <c r="D1" s="104"/>
      <c r="E1" s="103"/>
      <c r="F1" s="105"/>
      <c r="G1" s="105"/>
      <c r="H1" s="102"/>
      <c r="I1" s="102"/>
      <c r="J1" s="102"/>
      <c r="K1" s="102"/>
      <c r="L1" s="106"/>
      <c r="O1" s="105"/>
      <c r="P1" s="105"/>
      <c r="Q1" s="105"/>
      <c r="R1" s="105"/>
      <c r="S1" s="105"/>
    </row>
    <row r="2">
      <c r="A2" s="103"/>
      <c r="B2" s="102" t="s">
        <v>165</v>
      </c>
      <c r="C2" s="107" t="s">
        <v>166</v>
      </c>
      <c r="D2" s="108" t="s">
        <v>167</v>
      </c>
      <c r="E2" s="109" t="s">
        <v>168</v>
      </c>
      <c r="F2" s="105"/>
      <c r="G2" s="105"/>
      <c r="H2" s="102" t="s">
        <v>169</v>
      </c>
      <c r="I2" s="102" t="s">
        <v>170</v>
      </c>
      <c r="J2" s="102" t="s">
        <v>171</v>
      </c>
      <c r="K2" s="102" t="s">
        <v>172</v>
      </c>
      <c r="L2" s="106"/>
      <c r="O2" s="105"/>
      <c r="P2" s="105"/>
      <c r="Q2" s="105"/>
      <c r="R2" s="105"/>
      <c r="S2" s="105"/>
    </row>
    <row r="3">
      <c r="A3" s="102" t="s">
        <v>173</v>
      </c>
      <c r="B3" s="102">
        <v>35</v>
      </c>
      <c r="C3" s="110"/>
      <c r="D3" s="111"/>
      <c r="E3" s="112"/>
      <c r="F3" s="106"/>
      <c r="G3" s="106"/>
      <c r="H3" s="113" t="s">
        <v>173</v>
      </c>
      <c r="I3" s="113"/>
      <c r="J3" s="114">
        <v>36</v>
      </c>
      <c r="K3" s="114">
        <v>2.72</v>
      </c>
      <c r="L3" s="106"/>
    </row>
    <row customHeight="true" ht="19" r="4">
      <c r="A4" s="115" t="s">
        <v>174</v>
      </c>
      <c r="B4" s="115">
        <v>35</v>
      </c>
      <c r="C4" s="116">
        <f>B4/B3</f>
      </c>
      <c r="D4" s="111"/>
      <c r="E4" s="112"/>
      <c r="F4" s="106"/>
      <c r="G4" s="106"/>
      <c r="H4" s="114">
        <v>23000073</v>
      </c>
      <c r="I4" s="113" t="s">
        <v>175</v>
      </c>
      <c r="J4" s="114">
        <v>21</v>
      </c>
      <c r="K4" s="114">
        <v>2.2</v>
      </c>
      <c r="L4" s="106"/>
    </row>
    <row customHeight="true" ht="19" r="5">
      <c r="A5" s="117" t="s">
        <v>175</v>
      </c>
      <c r="B5" s="117">
        <v>21</v>
      </c>
      <c r="C5" s="116">
        <f>B5/B3</f>
      </c>
      <c r="D5" s="111">
        <f>(B4-B5)/B4</f>
      </c>
      <c r="E5" s="112">
        <f>C4-C5</f>
      </c>
      <c r="F5" s="106"/>
      <c r="G5" s="106"/>
      <c r="H5" s="114">
        <v>44000074</v>
      </c>
      <c r="I5" s="113" t="s">
        <v>176</v>
      </c>
      <c r="J5" s="114">
        <v>16</v>
      </c>
      <c r="K5" s="114">
        <v>8.88</v>
      </c>
      <c r="L5" s="106"/>
    </row>
    <row customHeight="true" ht="19" r="6">
      <c r="A6" s="118" t="s">
        <v>177</v>
      </c>
      <c r="B6" s="118">
        <v>30</v>
      </c>
      <c r="C6" s="119">
        <f>B6/B3</f>
      </c>
      <c r="D6" s="120"/>
      <c r="E6" s="121"/>
      <c r="F6" s="122"/>
      <c r="G6" s="106"/>
      <c r="H6" s="114">
        <v>44000085</v>
      </c>
      <c r="I6" s="113" t="s">
        <v>178</v>
      </c>
      <c r="J6" s="114">
        <v>11</v>
      </c>
      <c r="K6" s="114">
        <v>2</v>
      </c>
      <c r="L6" s="106"/>
    </row>
    <row r="7">
      <c r="A7" s="123" t="s">
        <v>176</v>
      </c>
      <c r="B7" s="123">
        <v>16</v>
      </c>
      <c r="C7" s="119">
        <f>B7/B3</f>
      </c>
      <c r="D7" s="120">
        <f>(B6-B7)/B6</f>
      </c>
      <c r="E7" s="121">
        <f>C6-C7</f>
      </c>
      <c r="F7" s="106"/>
      <c r="G7" s="106"/>
      <c r="H7" s="114">
        <v>44000080</v>
      </c>
      <c r="I7" s="113" t="s">
        <v>179</v>
      </c>
      <c r="J7" s="114">
        <v>6</v>
      </c>
      <c r="K7" s="114">
        <v>3</v>
      </c>
      <c r="L7" s="106"/>
    </row>
    <row customHeight="true" ht="19" r="8">
      <c r="A8" s="118" t="s">
        <v>180</v>
      </c>
      <c r="B8" s="118">
        <v>16</v>
      </c>
      <c r="C8" s="119">
        <f>B8/B3</f>
      </c>
      <c r="D8" s="120"/>
      <c r="E8" s="121"/>
      <c r="F8" s="106"/>
      <c r="G8" s="106"/>
      <c r="H8" s="114">
        <v>23000080</v>
      </c>
      <c r="I8" s="113" t="s">
        <v>181</v>
      </c>
      <c r="J8" s="114">
        <v>4</v>
      </c>
      <c r="K8" s="114">
        <v>2</v>
      </c>
      <c r="L8" s="106"/>
    </row>
    <row r="9">
      <c r="A9" s="124" t="s">
        <v>182</v>
      </c>
      <c r="B9" s="124">
        <v>1</v>
      </c>
      <c r="C9" s="119">
        <f>B9/B3</f>
      </c>
      <c r="D9" s="120">
        <f>(B8-B9)/B8</f>
      </c>
      <c r="E9" s="121">
        <f>C8-C9</f>
      </c>
      <c r="F9" s="106"/>
      <c r="G9" s="106"/>
      <c r="H9" s="114">
        <v>44000086</v>
      </c>
      <c r="I9" s="113" t="s">
        <v>183</v>
      </c>
      <c r="J9" s="114">
        <v>3</v>
      </c>
      <c r="K9" s="114">
        <v>4</v>
      </c>
      <c r="L9" s="106"/>
    </row>
    <row customHeight="true" ht="19" r="10">
      <c r="A10" s="125" t="s">
        <v>184</v>
      </c>
      <c r="B10" s="118">
        <v>11</v>
      </c>
      <c r="C10" s="119">
        <f>B10/B3</f>
      </c>
      <c r="D10" s="120"/>
      <c r="E10" s="121"/>
      <c r="F10" s="106"/>
      <c r="G10" s="106"/>
      <c r="H10" s="114">
        <v>23000075</v>
      </c>
      <c r="I10" s="126" t="s">
        <v>185</v>
      </c>
      <c r="J10" s="114">
        <v>1</v>
      </c>
      <c r="K10" s="114">
        <v>4</v>
      </c>
      <c r="L10" s="106"/>
    </row>
    <row customHeight="true" ht="21" r="11">
      <c r="A11" s="118" t="s">
        <v>186</v>
      </c>
      <c r="B11" s="118">
        <v>11</v>
      </c>
      <c r="C11" s="119">
        <f>B11/B3</f>
      </c>
      <c r="D11" s="120"/>
      <c r="E11" s="121"/>
      <c r="F11" s="106"/>
      <c r="G11" s="106"/>
      <c r="H11" s="114">
        <v>23000076</v>
      </c>
      <c r="I11" s="126" t="s">
        <v>187</v>
      </c>
      <c r="J11" s="114">
        <v>1</v>
      </c>
      <c r="K11" s="114">
        <v>2</v>
      </c>
      <c r="L11" s="106"/>
    </row>
    <row r="12">
      <c r="A12" s="123" t="s">
        <v>178</v>
      </c>
      <c r="B12" s="123">
        <v>11</v>
      </c>
      <c r="C12" s="119">
        <f>B12/B3</f>
      </c>
      <c r="D12" s="120">
        <f>(B11-B12)/B11</f>
      </c>
      <c r="E12" s="121">
        <f>C11-C12</f>
      </c>
      <c r="F12" s="106"/>
      <c r="G12" s="106"/>
      <c r="H12" s="114">
        <v>23000081</v>
      </c>
      <c r="I12" s="113" t="s">
        <v>188</v>
      </c>
      <c r="J12" s="114">
        <v>1</v>
      </c>
      <c r="K12" s="114">
        <v>2</v>
      </c>
      <c r="L12" s="106"/>
    </row>
    <row customHeight="true" ht="19" r="13">
      <c r="A13" s="118" t="s">
        <v>189</v>
      </c>
      <c r="B13" s="118">
        <v>10</v>
      </c>
      <c r="C13" s="119">
        <f>B13/B3</f>
      </c>
      <c r="D13" s="120"/>
      <c r="E13" s="121"/>
      <c r="F13" s="106"/>
      <c r="H13" s="106"/>
      <c r="I13" s="106"/>
      <c r="J13" s="106"/>
      <c r="K13" s="106"/>
    </row>
    <row r="14">
      <c r="A14" s="124" t="s">
        <v>190</v>
      </c>
      <c r="B14" s="124">
        <v>1</v>
      </c>
      <c r="C14" s="119">
        <f>B14/B3</f>
      </c>
      <c r="D14" s="120">
        <f>(B13-B14)/B13</f>
      </c>
      <c r="E14" s="121">
        <f>C13-C14</f>
      </c>
      <c r="F14" s="106"/>
    </row>
    <row customHeight="true" ht="19" r="15">
      <c r="A15" s="123" t="s">
        <v>179</v>
      </c>
      <c r="B15" s="123">
        <v>6</v>
      </c>
      <c r="C15" s="119">
        <f>B15/B3</f>
      </c>
      <c r="D15" s="120">
        <f>(B13-B15)/B13</f>
      </c>
      <c r="E15" s="121">
        <f>C13-C15</f>
      </c>
      <c r="F15" s="106"/>
    </row>
    <row customHeight="true" ht="19" r="16">
      <c r="A16" s="118" t="s">
        <v>191</v>
      </c>
      <c r="B16" s="118">
        <v>4</v>
      </c>
      <c r="C16" s="119">
        <f>B16/B3</f>
      </c>
      <c r="D16" s="120"/>
      <c r="E16" s="121"/>
      <c r="F16" s="106"/>
    </row>
    <row customHeight="true" ht="19" r="17">
      <c r="A17" s="124" t="s">
        <v>192</v>
      </c>
      <c r="B17" s="124">
        <v>1</v>
      </c>
      <c r="C17" s="119">
        <f>B17/B3</f>
      </c>
      <c r="D17" s="120">
        <f>(B16-B17)/B16</f>
      </c>
      <c r="E17" s="121">
        <f>C16-C17</f>
      </c>
      <c r="F17" s="106"/>
    </row>
    <row customHeight="true" ht="19" r="18">
      <c r="F18" s="106"/>
    </row>
    <row r="19">
      <c r="A19" s="106"/>
      <c r="B19" s="106"/>
      <c r="C19" s="106"/>
      <c r="D19" s="106"/>
      <c r="E19" s="106"/>
    </row>
    <row r="20"/>
    <row r="21"/>
    <row r="22"/>
    <row r="23"/>
    <row r="24"/>
    <row r="25"/>
    <row r="26"/>
    <row r="27"/>
    <row r="28"/>
    <row r="29"/>
    <row r="30"/>
    <row r="31">
      <c r="C31" s="106"/>
    </row>
    <row r="32">
      <c r="C32" s="106"/>
    </row>
    <row r="33">
      <c r="C33" s="106"/>
    </row>
    <row r="34">
      <c r="C34" s="106"/>
    </row>
    <row r="35">
      <c r="C35" s="106"/>
    </row>
    <row r="36">
      <c r="C36" s="106"/>
    </row>
    <row r="37">
      <c r="C37" s="106"/>
    </row>
    <row r="38">
      <c r="C38" s="106"/>
    </row>
    <row r="39">
      <c r="C39" s="106"/>
    </row>
    <row r="40">
      <c r="C40" s="106"/>
    </row>
    <row r="41">
      <c r="C41" s="106"/>
    </row>
    <row r="42">
      <c r="C42" s="106"/>
    </row>
    <row r="43">
      <c r="C43" s="106"/>
    </row>
    <row r="44">
      <c r="C44" s="106"/>
    </row>
    <row r="45">
      <c r="C45" s="106"/>
    </row>
    <row r="46">
      <c r="C46" s="106"/>
    </row>
    <row r="47">
      <c r="C47" s="106"/>
    </row>
    <row r="48">
      <c r="C48" s="106"/>
    </row>
    <row r="49">
      <c r="C49" s="106"/>
    </row>
    <row r="50">
      <c r="C50" s="106"/>
    </row>
    <row r="51">
      <c r="C51" s="106"/>
    </row>
    <row r="52">
      <c r="C52" s="106"/>
    </row>
    <row r="53">
      <c r="C53" s="106"/>
    </row>
    <row r="54">
      <c r="C54" s="106"/>
    </row>
    <row r="55">
      <c r="C55" s="106"/>
    </row>
    <row r="56">
      <c r="C56" s="106"/>
    </row>
    <row r="57">
      <c r="C57" s="106"/>
    </row>
    <row r="58">
      <c r="C58" s="106"/>
    </row>
    <row r="59">
      <c r="C59" s="106"/>
    </row>
    <row r="60">
      <c r="C60" s="106"/>
    </row>
    <row r="61">
      <c r="C61" s="106"/>
    </row>
    <row r="62">
      <c r="C62" s="106"/>
    </row>
    <row r="63">
      <c r="C63" s="106"/>
    </row>
    <row r="64">
      <c r="C64" s="106"/>
    </row>
    <row r="65">
      <c r="C65" s="106"/>
    </row>
    <row r="66">
      <c r="C66" s="106"/>
    </row>
    <row r="67">
      <c r="C67" s="106"/>
    </row>
    <row r="68">
      <c r="C68" s="106"/>
    </row>
    <row r="69">
      <c r="C69" s="106"/>
    </row>
    <row r="70">
      <c r="C70" s="106"/>
    </row>
    <row r="71">
      <c r="C71" s="106"/>
    </row>
    <row r="72">
      <c r="C72" s="106"/>
    </row>
    <row r="73">
      <c r="C73" s="106"/>
    </row>
    <row r="74">
      <c r="C74" s="106"/>
    </row>
    <row r="75">
      <c r="C75" s="106"/>
    </row>
    <row r="76">
      <c r="C76" s="106"/>
    </row>
    <row r="77">
      <c r="C77" s="106"/>
    </row>
    <row r="78">
      <c r="C78" s="106"/>
    </row>
    <row r="79">
      <c r="C79" s="106"/>
    </row>
    <row r="80">
      <c r="C80" s="106"/>
    </row>
    <row r="81">
      <c r="C81" s="106"/>
    </row>
    <row r="82">
      <c r="C82" s="106"/>
    </row>
    <row r="83">
      <c r="C83" s="106"/>
    </row>
    <row r="84">
      <c r="C84" s="106"/>
    </row>
    <row r="85">
      <c r="C85" s="106"/>
    </row>
    <row r="86">
      <c r="C86" s="106"/>
    </row>
    <row r="87">
      <c r="C87" s="106"/>
    </row>
    <row r="88">
      <c r="C88" s="106"/>
    </row>
    <row r="89">
      <c r="C89" s="106"/>
    </row>
    <row r="90">
      <c r="C90" s="106"/>
    </row>
    <row r="91">
      <c r="C91" s="106"/>
    </row>
    <row r="92">
      <c r="C92" s="106"/>
    </row>
    <row r="93">
      <c r="C93" s="106"/>
    </row>
    <row r="94">
      <c r="C94" s="106"/>
    </row>
    <row r="95">
      <c r="C95" s="106"/>
    </row>
    <row r="96">
      <c r="C96" s="106"/>
    </row>
    <row r="97">
      <c r="C97" s="106"/>
    </row>
    <row r="98">
      <c r="C98" s="106"/>
    </row>
    <row r="99">
      <c r="C99" s="106"/>
    </row>
    <row r="100">
      <c r="C100" s="106"/>
    </row>
    <row r="101">
      <c r="C101" s="106"/>
    </row>
    <row r="102">
      <c r="C102" s="106"/>
    </row>
    <row r="103">
      <c r="C103" s="106"/>
    </row>
    <row r="104">
      <c r="C104" s="106"/>
    </row>
    <row r="105">
      <c r="C105" s="106"/>
    </row>
    <row r="106">
      <c r="C106" s="106"/>
    </row>
    <row r="107">
      <c r="C107" s="106"/>
    </row>
    <row r="108">
      <c r="C108" s="106"/>
    </row>
    <row r="109">
      <c r="C109" s="106"/>
    </row>
    <row r="110">
      <c r="C110" s="106"/>
    </row>
    <row r="111">
      <c r="C111" s="106"/>
    </row>
    <row r="112">
      <c r="C112" s="106"/>
    </row>
    <row r="113">
      <c r="C113" s="106"/>
    </row>
    <row r="114">
      <c r="C114" s="106"/>
    </row>
    <row r="115">
      <c r="C115" s="106"/>
    </row>
    <row r="116">
      <c r="C116" s="106"/>
    </row>
    <row r="117">
      <c r="C117" s="106"/>
    </row>
    <row r="118">
      <c r="C118" s="106"/>
    </row>
    <row r="119">
      <c r="C119" s="106"/>
    </row>
    <row r="120">
      <c r="C120" s="106"/>
    </row>
    <row r="121">
      <c r="C121" s="106"/>
    </row>
    <row r="122">
      <c r="C122" s="106"/>
    </row>
    <row r="123">
      <c r="C123" s="106"/>
    </row>
    <row r="124">
      <c r="C124" s="106"/>
    </row>
    <row r="125">
      <c r="C125" s="106"/>
    </row>
    <row r="126">
      <c r="C126" s="106"/>
    </row>
    <row r="127">
      <c r="C127" s="106"/>
    </row>
    <row r="128">
      <c r="C128" s="106"/>
    </row>
    <row r="129">
      <c r="C129" s="106"/>
    </row>
    <row r="130">
      <c r="C130" s="106"/>
    </row>
    <row r="131">
      <c r="C131" s="106"/>
    </row>
    <row r="132">
      <c r="C132" s="106"/>
    </row>
    <row r="133">
      <c r="C133" s="106"/>
    </row>
    <row r="134">
      <c r="C134" s="106"/>
    </row>
    <row r="135">
      <c r="C135" s="106"/>
    </row>
    <row r="136">
      <c r="C136" s="106"/>
    </row>
    <row r="137">
      <c r="C137" s="106"/>
    </row>
    <row r="138">
      <c r="C138" s="106"/>
    </row>
    <row r="139">
      <c r="C139" s="106"/>
    </row>
    <row r="140">
      <c r="C140" s="106"/>
    </row>
    <row r="141">
      <c r="C141" s="106"/>
    </row>
    <row r="142">
      <c r="C142" s="106"/>
    </row>
    <row r="143">
      <c r="C143" s="106"/>
    </row>
    <row r="144">
      <c r="C144" s="106"/>
    </row>
    <row r="145">
      <c r="C145" s="106"/>
    </row>
    <row r="146">
      <c r="C146" s="106"/>
    </row>
    <row r="147">
      <c r="C147" s="106"/>
    </row>
    <row r="148">
      <c r="C148" s="106"/>
    </row>
    <row r="149">
      <c r="C149" s="106"/>
    </row>
    <row r="150">
      <c r="C150" s="106"/>
    </row>
    <row r="151">
      <c r="C151" s="106"/>
    </row>
    <row r="152">
      <c r="C152" s="106"/>
    </row>
    <row r="153">
      <c r="C153" s="106"/>
    </row>
    <row r="154">
      <c r="C154" s="106"/>
    </row>
    <row r="155">
      <c r="C155" s="106"/>
    </row>
    <row r="156">
      <c r="C156" s="106"/>
    </row>
    <row r="157">
      <c r="C157" s="106"/>
    </row>
    <row r="158">
      <c r="C158" s="106"/>
    </row>
    <row r="159">
      <c r="C159" s="106"/>
    </row>
    <row r="160">
      <c r="C160" s="106"/>
    </row>
    <row r="161">
      <c r="C161" s="106"/>
    </row>
    <row r="162">
      <c r="C162" s="106"/>
    </row>
    <row r="163">
      <c r="C163" s="106"/>
    </row>
    <row r="164">
      <c r="C164" s="106"/>
    </row>
    <row r="165">
      <c r="C165" s="106"/>
    </row>
    <row r="166">
      <c r="C166" s="106"/>
    </row>
    <row r="167">
      <c r="C167" s="106"/>
    </row>
    <row r="168">
      <c r="C168" s="106"/>
    </row>
    <row r="169">
      <c r="C169" s="106"/>
    </row>
    <row r="170">
      <c r="C170" s="106"/>
    </row>
    <row r="171">
      <c r="C171" s="106"/>
    </row>
    <row r="172">
      <c r="C172" s="106"/>
    </row>
    <row r="173">
      <c r="C173" s="106"/>
    </row>
    <row r="174">
      <c r="C174" s="106"/>
    </row>
    <row r="175">
      <c r="C175" s="106"/>
    </row>
    <row r="176">
      <c r="C176" s="106"/>
    </row>
    <row r="177">
      <c r="C177" s="106"/>
    </row>
    <row r="178">
      <c r="C178" s="106"/>
    </row>
    <row r="179">
      <c r="C179" s="106"/>
    </row>
    <row r="180">
      <c r="C180" s="106"/>
    </row>
    <row r="181">
      <c r="C181" s="106"/>
    </row>
    <row r="182">
      <c r="C182" s="106"/>
    </row>
    <row r="183">
      <c r="C183" s="106"/>
    </row>
    <row r="184">
      <c r="C184" s="106"/>
    </row>
    <row r="185">
      <c r="C185" s="106"/>
    </row>
    <row r="186">
      <c r="C186" s="106"/>
    </row>
    <row r="187">
      <c r="C187" s="106"/>
    </row>
    <row r="188">
      <c r="C188" s="106"/>
    </row>
    <row r="189">
      <c r="C189" s="106"/>
    </row>
    <row r="190">
      <c r="C190" s="106"/>
    </row>
    <row r="191">
      <c r="C191" s="106"/>
    </row>
    <row r="192">
      <c r="C192" s="106"/>
    </row>
    <row r="193">
      <c r="C193" s="106"/>
    </row>
    <row r="194">
      <c r="C194" s="106"/>
    </row>
    <row r="195">
      <c r="C195" s="106"/>
    </row>
    <row r="196">
      <c r="C196" s="106"/>
    </row>
    <row r="197">
      <c r="C197" s="106"/>
    </row>
    <row r="198">
      <c r="C198" s="106"/>
    </row>
    <row r="199">
      <c r="C199" s="106"/>
    </row>
    <row r="200">
      <c r="C200" s="106"/>
    </row>
    <row r="201">
      <c r="C201" s="106"/>
    </row>
    <row r="202">
      <c r="C202" s="106"/>
    </row>
    <row r="203">
      <c r="C203" s="106"/>
    </row>
    <row r="204">
      <c r="C204" s="106"/>
    </row>
    <row r="205">
      <c r="C205" s="106"/>
    </row>
    <row r="206">
      <c r="C206" s="106"/>
    </row>
    <row r="207">
      <c r="C207" s="106"/>
    </row>
  </sheetData>
  <mergeCells>
    <mergeCell ref="A1:E1"/>
    <mergeCell ref="H3:I3"/>
  </mergeCells>
  <conditionalFormatting sqref="D5:D17">
    <cfRule priority="2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{998F2330-49EB-4F61-88A6-3E6A769732F8}</x14:id>
        </ext>
      </extLst>
    </cfRule>
  </conditionalFormatting>
  <conditionalFormatting sqref="E5:E17">
    <cfRule priority="3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{AEC98F2D-159A-4596-94A5-171446A16049}</x14:id>
        </ext>
      </extLst>
    </cfRule>
  </conditionalFormatting>
  <conditionalFormatting sqref="E5:E17">
    <cfRule priority="4" type="dataBar">
      <dataBar showValue="true">
        <cfvo type="min"/>
        <cfvo type="max"/>
        <color rgb="FFF7D564"/>
      </dataBar>
      <extLst>
        <ext xmlns:x14="http://schemas.microsoft.com/office/spreadsheetml/2009/9/main" uri="{B025F937-C7B1-47D3-B67F-A62EFF666E3E}">
          <x14:id>{F5D4C9F6-BDBE-4F4B-B1B7-D7C6A743587C}</x14:id>
        </ext>
      </extLst>
    </cfRule>
  </conditionalFormatting>
  <conditionalFormatting sqref="E5:E17">
    <cfRule priority="5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{07155D52-06BA-4E24-8772-C9869C4EC304}</x14:id>
        </ext>
      </extLst>
    </cfRule>
  </conditionalFormatting>
  <conditionalFormatting sqref="E5:E17">
    <cfRule priority="6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{B60453AA-12E9-427F-A511-FE940A9A3080}</x14:id>
        </ext>
      </extLst>
    </cfRule>
  </conditionalFormatting>
  <conditionalFormatting sqref="D3:D17">
    <cfRule priority="7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{668FEC0E-E837-4B3A-9FEE-FFE628747626}</x14:id>
        </ext>
      </extLst>
    </cfRule>
  </conditionalFormatting>
  <conditionalFormatting sqref="D3:D17">
    <cfRule priority="8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{E6745FE5-87C3-4EDE-9032-DE6B96FEA542}</x14:id>
        </ext>
      </extLst>
    </cfRule>
  </conditionalFormatting>
  <conditionalFormatting sqref="E3:E17">
    <cfRule priority="9" type="dataBar">
      <dataBar showValue="true">
        <cfvo type="min"/>
        <cfvo type="max"/>
        <color rgb="FFF98A86"/>
      </dataBar>
      <extLst>
        <ext xmlns:x14="http://schemas.microsoft.com/office/spreadsheetml/2009/9/main" uri="{B025F937-C7B1-47D3-B67F-A62EFF666E3E}">
          <x14:id>{011E1E46-06CB-4498-8476-18BC67646C5A}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8F2330-49EB-4F61-88A6-3E6A769732F8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D5:D17</xm:sqref>
        </x14:conditionalFormatting>
        <x14:conditionalFormatting xmlns:xm="http://schemas.microsoft.com/office/excel/2006/main">
          <x14:cfRule type="dataBar" id="{AEC98F2D-159A-4596-94A5-171446A16049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F5D4C9F6-BDBE-4F4B-B1B7-D7C6A743587C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07155D52-06BA-4E24-8772-C9869C4EC304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B60453AA-12E9-427F-A511-FE940A9A3080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E5:E17</xm:sqref>
        </x14:conditionalFormatting>
        <x14:conditionalFormatting xmlns:xm="http://schemas.microsoft.com/office/excel/2006/main">
          <x14:cfRule type="dataBar" id="{668FEC0E-E837-4B3A-9FEE-FFE628747626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E6745FE5-87C3-4EDE-9032-DE6B96FEA542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D3:D17</xm:sqref>
        </x14:conditionalFormatting>
        <x14:conditionalFormatting xmlns:xm="http://schemas.microsoft.com/office/excel/2006/main">
          <x14:cfRule type="dataBar" id="{011E1E46-06CB-4498-8476-18BC67646C5A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E3:E17</xm:sqref>
        </x14:conditionalFormatting>
      </x14:conditionalFormattings>
    </ext>
  </extLst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3"/>
    <col collapsed="false" customWidth="true" hidden="false" max="3" min="3" style="0" width="33"/>
    <col collapsed="false" customWidth="true" hidden="false" max="4" min="4" style="0" width="33"/>
    <col collapsed="false" customWidth="true" hidden="false" max="6" min="6" style="0" width="33"/>
  </cols>
  <sheetData>
    <row customHeight="true" ht="19" r="1">
      <c r="A1" s="127" t="s">
        <v>193</v>
      </c>
      <c r="B1" s="127"/>
      <c r="C1" s="127"/>
      <c r="D1" s="127"/>
      <c r="E1" s="127"/>
      <c r="F1" s="127"/>
    </row>
    <row r="2">
      <c r="A2" s="128" t="s">
        <v>194</v>
      </c>
      <c r="B2" s="129" t="s">
        <v>195</v>
      </c>
      <c r="C2" s="129" t="s">
        <v>196</v>
      </c>
      <c r="D2" s="128" t="s">
        <v>197</v>
      </c>
      <c r="E2" s="129" t="s">
        <v>195</v>
      </c>
      <c r="F2" s="129" t="s">
        <v>196</v>
      </c>
    </row>
    <row r="3">
      <c r="A3" s="130" t="s">
        <v>198</v>
      </c>
      <c r="B3" s="130">
        <v>23000073</v>
      </c>
      <c r="C3" s="131" t="s">
        <v>199</v>
      </c>
      <c r="D3" s="130" t="s">
        <v>200</v>
      </c>
      <c r="E3" s="130">
        <v>44000073</v>
      </c>
      <c r="F3" s="130" t="s">
        <v>201</v>
      </c>
    </row>
    <row r="4">
      <c r="A4" s="130" t="s">
        <v>198</v>
      </c>
      <c r="B4" s="130">
        <v>23000074</v>
      </c>
      <c r="C4" s="130" t="s">
        <v>202</v>
      </c>
      <c r="D4" s="130" t="s">
        <v>200</v>
      </c>
      <c r="E4" s="130">
        <v>44000074</v>
      </c>
      <c r="F4" s="131" t="s">
        <v>203</v>
      </c>
    </row>
    <row r="5">
      <c r="A5" s="130" t="s">
        <v>198</v>
      </c>
      <c r="B5" s="130">
        <v>23000075</v>
      </c>
      <c r="C5" s="130" t="s">
        <v>204</v>
      </c>
      <c r="D5" s="130" t="s">
        <v>200</v>
      </c>
      <c r="E5" s="130">
        <v>44000078</v>
      </c>
      <c r="F5" s="130" t="s">
        <v>205</v>
      </c>
    </row>
    <row r="6">
      <c r="A6" s="130" t="s">
        <v>198</v>
      </c>
      <c r="B6" s="130">
        <v>23000076</v>
      </c>
      <c r="C6" s="130" t="s">
        <v>206</v>
      </c>
      <c r="D6" s="130" t="s">
        <v>200</v>
      </c>
      <c r="E6" s="130">
        <v>44000079</v>
      </c>
      <c r="F6" s="130" t="s">
        <v>207</v>
      </c>
    </row>
    <row r="7">
      <c r="A7" s="130" t="s">
        <v>198</v>
      </c>
      <c r="B7" s="130">
        <v>23000077</v>
      </c>
      <c r="C7" s="130" t="s">
        <v>208</v>
      </c>
      <c r="D7" s="130" t="s">
        <v>200</v>
      </c>
      <c r="E7" s="130">
        <v>44000080</v>
      </c>
      <c r="F7" s="130" t="s">
        <v>209</v>
      </c>
    </row>
    <row r="8">
      <c r="A8" s="130" t="s">
        <v>198</v>
      </c>
      <c r="B8" s="130">
        <v>23000078</v>
      </c>
      <c r="C8" s="130" t="s">
        <v>210</v>
      </c>
      <c r="D8" s="130" t="s">
        <v>200</v>
      </c>
      <c r="E8" s="130">
        <v>44000081</v>
      </c>
      <c r="F8" s="131" t="s">
        <v>211</v>
      </c>
    </row>
    <row r="9">
      <c r="A9" s="130" t="s">
        <v>198</v>
      </c>
      <c r="B9" s="130">
        <v>23000079</v>
      </c>
      <c r="C9" s="130" t="s">
        <v>212</v>
      </c>
      <c r="D9" s="130" t="s">
        <v>200</v>
      </c>
      <c r="E9" s="130">
        <v>44000082</v>
      </c>
      <c r="F9" s="130" t="s">
        <v>213</v>
      </c>
    </row>
    <row r="10">
      <c r="A10" s="130" t="s">
        <v>198</v>
      </c>
      <c r="B10" s="130">
        <v>23000080</v>
      </c>
      <c r="C10" s="130" t="s">
        <v>214</v>
      </c>
      <c r="D10" s="130" t="s">
        <v>200</v>
      </c>
      <c r="E10" s="130">
        <v>44000083</v>
      </c>
      <c r="F10" s="130" t="s">
        <v>215</v>
      </c>
    </row>
    <row r="11">
      <c r="A11" s="130" t="s">
        <v>198</v>
      </c>
      <c r="B11" s="130">
        <v>23000081</v>
      </c>
      <c r="C11" s="130" t="s">
        <v>216</v>
      </c>
      <c r="D11" s="130" t="s">
        <v>200</v>
      </c>
      <c r="E11" s="130">
        <v>44000084</v>
      </c>
      <c r="F11" s="130" t="s">
        <v>217</v>
      </c>
    </row>
    <row r="12">
      <c r="A12" s="130" t="s">
        <v>198</v>
      </c>
      <c r="B12" s="130">
        <v>23000082</v>
      </c>
      <c r="C12" s="130" t="s">
        <v>218</v>
      </c>
      <c r="D12" s="130" t="s">
        <v>200</v>
      </c>
      <c r="E12" s="130">
        <v>44000085</v>
      </c>
      <c r="F12" s="130" t="s">
        <v>219</v>
      </c>
    </row>
    <row r="13">
      <c r="A13" s="130" t="s">
        <v>198</v>
      </c>
      <c r="B13" s="130">
        <v>23000083</v>
      </c>
      <c r="C13" s="130" t="s">
        <v>220</v>
      </c>
      <c r="D13" s="130" t="s">
        <v>200</v>
      </c>
      <c r="E13" s="130">
        <v>44000086</v>
      </c>
      <c r="F13" s="131" t="s">
        <v>221</v>
      </c>
    </row>
    <row r="14">
      <c r="A14" s="130" t="s">
        <v>198</v>
      </c>
      <c r="B14" s="130">
        <v>23000084</v>
      </c>
      <c r="C14" s="130" t="s">
        <v>222</v>
      </c>
    </row>
    <row r="15"/>
    <row r="16">
      <c r="A16" s="127" t="s">
        <v>223</v>
      </c>
      <c r="B16" s="127"/>
      <c r="C16" s="127"/>
      <c r="D16" s="127"/>
      <c r="E16" s="127"/>
      <c r="F16" s="127"/>
    </row>
    <row r="17">
      <c r="A17" s="127" t="s">
        <v>194</v>
      </c>
      <c r="B17" s="132" t="s">
        <v>195</v>
      </c>
      <c r="C17" s="132" t="s">
        <v>196</v>
      </c>
      <c r="D17" s="127" t="s">
        <v>197</v>
      </c>
      <c r="E17" s="132" t="s">
        <v>195</v>
      </c>
      <c r="F17" s="132" t="s">
        <v>196</v>
      </c>
    </row>
    <row r="18">
      <c r="A18" s="133" t="s">
        <v>198</v>
      </c>
      <c r="B18" s="134">
        <v>23000047</v>
      </c>
      <c r="C18" s="134" t="s">
        <v>224</v>
      </c>
      <c r="D18" s="133" t="s">
        <v>200</v>
      </c>
      <c r="E18" s="133"/>
      <c r="F18" s="133" t="s">
        <v>201</v>
      </c>
    </row>
    <row r="19">
      <c r="A19" s="133" t="s">
        <v>198</v>
      </c>
      <c r="B19" s="133"/>
      <c r="C19" s="133" t="s">
        <v>202</v>
      </c>
      <c r="D19" s="133" t="s">
        <v>200</v>
      </c>
      <c r="E19" s="133"/>
      <c r="F19" s="134" t="s">
        <v>203</v>
      </c>
    </row>
    <row r="20">
      <c r="A20" s="133" t="s">
        <v>198</v>
      </c>
      <c r="B20" s="133"/>
      <c r="C20" s="133" t="s">
        <v>204</v>
      </c>
      <c r="D20" s="133" t="s">
        <v>200</v>
      </c>
      <c r="E20" s="133"/>
      <c r="F20" s="133" t="s">
        <v>205</v>
      </c>
    </row>
    <row r="21">
      <c r="A21" s="133" t="s">
        <v>198</v>
      </c>
      <c r="B21" s="133"/>
      <c r="C21" s="133" t="s">
        <v>206</v>
      </c>
      <c r="D21" s="133" t="s">
        <v>200</v>
      </c>
      <c r="E21" s="133"/>
      <c r="F21" s="133" t="s">
        <v>207</v>
      </c>
    </row>
    <row r="22">
      <c r="A22" s="133" t="s">
        <v>198</v>
      </c>
      <c r="B22" s="133"/>
      <c r="C22" s="133" t="s">
        <v>208</v>
      </c>
      <c r="D22" s="133" t="s">
        <v>200</v>
      </c>
      <c r="E22" s="133"/>
      <c r="F22" s="133" t="s">
        <v>209</v>
      </c>
    </row>
    <row r="23">
      <c r="A23" s="133" t="s">
        <v>198</v>
      </c>
      <c r="B23" s="133"/>
      <c r="C23" s="133" t="s">
        <v>210</v>
      </c>
      <c r="D23" s="133" t="s">
        <v>200</v>
      </c>
      <c r="E23" s="133"/>
      <c r="F23" s="134" t="s">
        <v>211</v>
      </c>
    </row>
    <row r="24">
      <c r="A24" s="133" t="s">
        <v>198</v>
      </c>
      <c r="B24" s="133"/>
      <c r="C24" s="133" t="s">
        <v>212</v>
      </c>
      <c r="D24" s="133" t="s">
        <v>200</v>
      </c>
      <c r="E24" s="133"/>
      <c r="F24" s="133" t="s">
        <v>213</v>
      </c>
    </row>
    <row r="25">
      <c r="A25" s="133" t="s">
        <v>198</v>
      </c>
      <c r="B25" s="133"/>
      <c r="C25" s="133" t="s">
        <v>214</v>
      </c>
      <c r="D25" s="133" t="s">
        <v>200</v>
      </c>
      <c r="E25" s="133"/>
      <c r="F25" s="133" t="s">
        <v>215</v>
      </c>
    </row>
    <row r="26">
      <c r="A26" s="133" t="s">
        <v>198</v>
      </c>
      <c r="B26" s="133"/>
      <c r="C26" s="133" t="s">
        <v>216</v>
      </c>
      <c r="D26" s="133" t="s">
        <v>200</v>
      </c>
      <c r="E26" s="133"/>
      <c r="F26" s="133" t="s">
        <v>217</v>
      </c>
    </row>
    <row r="27">
      <c r="A27" s="133" t="s">
        <v>198</v>
      </c>
      <c r="B27" s="133"/>
      <c r="C27" s="133" t="s">
        <v>218</v>
      </c>
      <c r="D27" s="133" t="s">
        <v>200</v>
      </c>
      <c r="E27" s="133"/>
      <c r="F27" s="133" t="s">
        <v>219</v>
      </c>
    </row>
    <row r="28">
      <c r="A28" s="133" t="s">
        <v>198</v>
      </c>
      <c r="B28" s="133"/>
      <c r="C28" s="133" t="s">
        <v>220</v>
      </c>
      <c r="D28" s="133" t="s">
        <v>200</v>
      </c>
      <c r="E28" s="133"/>
      <c r="F28" s="134" t="s">
        <v>221</v>
      </c>
    </row>
    <row r="29">
      <c r="A29" s="133" t="s">
        <v>198</v>
      </c>
      <c r="B29" s="133"/>
      <c r="C29" s="133" t="s">
        <v>222</v>
      </c>
    </row>
  </sheetData>
  <mergeCells>
    <mergeCell ref="A1:F1"/>
    <mergeCell ref="A16:F1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